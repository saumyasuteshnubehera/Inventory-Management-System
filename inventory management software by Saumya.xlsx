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D8C21AA-FB29-496D-B81B-D793861129DF}" xr6:coauthVersionLast="47" xr6:coauthVersionMax="47" xr10:uidLastSave="{00000000-0000-0000-0000-000000000000}"/>
  <bookViews>
    <workbookView xWindow="-110" yWindow="-110" windowWidth="19420" windowHeight="10300" tabRatio="836" xr2:uid="{B430F305-06C2-4799-BE7C-6E9D28374C77}"/>
  </bookViews>
  <sheets>
    <sheet name="Dashboard" sheetId="1" r:id="rId1"/>
    <sheet name="Sheet9" sheetId="9" r:id="rId2"/>
    <sheet name="Customers" sheetId="2" r:id="rId3"/>
    <sheet name="Vendors" sheetId="3" r:id="rId4"/>
    <sheet name="Products" sheetId="4" r:id="rId5"/>
    <sheet name="New Entry" sheetId="5" r:id="rId6"/>
    <sheet name="Purchase" sheetId="6" r:id="rId7"/>
    <sheet name="Sales" sheetId="7" r:id="rId8"/>
    <sheet name="Inventory" sheetId="8" r:id="rId9"/>
  </sheets>
  <definedNames>
    <definedName name="Cust_ID">customersdata[Cust_ID]</definedName>
    <definedName name="HSNCode">Table4[HSN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7" l="1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L19" i="7" s="1"/>
  <c r="K20" i="7"/>
  <c r="L20" i="7" s="1"/>
  <c r="K21" i="7"/>
  <c r="L21" i="7" s="1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J19" i="6" s="1"/>
  <c r="I20" i="6"/>
  <c r="J20" i="6" s="1"/>
  <c r="I21" i="6"/>
  <c r="I22" i="6"/>
  <c r="J21" i="6"/>
  <c r="J22" i="6"/>
  <c r="E14" i="7"/>
  <c r="E15" i="7"/>
  <c r="E16" i="7"/>
  <c r="E17" i="7"/>
  <c r="G14" i="7"/>
  <c r="G15" i="7"/>
  <c r="G16" i="7"/>
  <c r="G17" i="7"/>
  <c r="K14" i="7"/>
  <c r="L14" i="7" s="1"/>
  <c r="K15" i="7"/>
  <c r="L15" i="7" s="1"/>
  <c r="K16" i="7"/>
  <c r="L16" i="7" s="1"/>
  <c r="K17" i="7"/>
  <c r="L17" i="7" s="1"/>
  <c r="C17" i="9"/>
  <c r="C12" i="9"/>
  <c r="C20" i="9" s="1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I12" i="8" s="1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7" i="8" l="1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  <c r="I8" i="1" l="1" a="1"/>
  <c r="I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<sst xmlns="http://schemas.openxmlformats.org/spreadsheetml/2006/main" count="205" uniqueCount="95">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</sst>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_ ;_ &quot;₹&quot;\ * \-#,##0_ ;_ &quot;₹&quot;\ * &quot;-&quot;_ ;_ @_ "/>
    <numFmt numFmtId="165" formatCode="&quot;₹&quot;\ #,##0"/>
  </numFmts>
  <fonts count="6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1" fillId="4" borderId="4" xfId="0" applyFont="1" applyFill="1" applyBorder="1"/>
    <xf numFmtId="165" fontId="2" fillId="2" borderId="0" xfId="0" applyNumberFormat="1" applyFon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5" formatCode="&quot;₹&quot;\ #,##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Saumya.xlsx]Sheet9!PivotTable17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 "₹"\ * #,##0_ ;_ "₹"\ * \-#,##0_ ;_ "₹"\ * "-"_ ;_ @_ 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Saumya.xlsx]Sheet9!PivotTable18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Saumya.xlsx]Sheet9!PivotTable19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Saumya.xlsx]Sheet9!PivotTable17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 "₹"\ * #,##0_ ;_ "₹"\ * \-#,##0_ ;_ "₹"\ * "-"_ ;_ @_ 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Saumya.xlsx]Sheet9!PivotTable18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Saumya.xlsx]Sheet9!PivotTable19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6.svg"/><Relationship Id="rId5" Type="http://schemas.openxmlformats.org/officeDocument/2006/relationships/image" Target="../media/image4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6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0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29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2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31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34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3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3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CC89904F-F49F-DA71-4ADF-BAC57CA8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Inventory Management System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39179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Purchase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Sales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rgbClr val="D5E787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87884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Proft</a:t>
          </a:r>
          <a:r>
            <a:rPr lang="en-IN" sz="1400" b="0" kern="1200" baseline="0">
              <a:solidFill>
                <a:schemeClr val="tx1"/>
              </a:solidFill>
            </a:rPr>
            <a:t> / Loss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Stock Amt.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209550</xdr:colOff>
      <xdr:row>4</xdr:row>
      <xdr:rowOff>88900</xdr:rowOff>
    </xdr:from>
    <xdr:to>
      <xdr:col>4</xdr:col>
      <xdr:colOff>304800</xdr:colOff>
      <xdr:row>5</xdr:row>
      <xdr:rowOff>120650</xdr:rowOff>
    </xdr:to>
    <xdr:sp macro="" textlink="Sheet9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2482850" y="140970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711200</xdr:colOff>
      <xdr:row>4</xdr:row>
      <xdr:rowOff>69850</xdr:rowOff>
    </xdr:from>
    <xdr:to>
      <xdr:col>5</xdr:col>
      <xdr:colOff>806450</xdr:colOff>
      <xdr:row>5</xdr:row>
      <xdr:rowOff>101600</xdr:rowOff>
    </xdr:to>
    <xdr:sp macro="" textlink="Sheet9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102100" y="139065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1085850</xdr:colOff>
      <xdr:row>5</xdr:row>
      <xdr:rowOff>114300</xdr:rowOff>
    </xdr:to>
    <xdr:sp macro="" textlink="Sheet9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4FFB8E-7018-482F-8645-DB37BB1AF293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5,543,995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Sheet9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3,071,878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393700</xdr:colOff>
      <xdr:row>4</xdr:row>
      <xdr:rowOff>101600</xdr:rowOff>
    </xdr:from>
    <xdr:to>
      <xdr:col>8</xdr:col>
      <xdr:colOff>2552700</xdr:colOff>
      <xdr:row>5</xdr:row>
      <xdr:rowOff>133350</xdr:rowOff>
    </xdr:to>
    <xdr:sp macro="" textlink="Sheet9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966200" y="14224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511,980</a:t>
          </a:fld>
          <a:endParaRPr lang="en-IN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Sheet9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2,984,097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1606177</xdr:colOff>
      <xdr:row>22</xdr:row>
      <xdr:rowOff>164354</xdr:rowOff>
    </xdr:from>
    <xdr:to>
      <xdr:col>4</xdr:col>
      <xdr:colOff>261471</xdr:colOff>
      <xdr:row>30</xdr:row>
      <xdr:rowOff>277907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3</xdr:row>
      <xdr:rowOff>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704850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3</xdr:row>
      <xdr:rowOff>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495300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Table7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5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164">
      <sharedItems containsMixedTypes="1" containsNumber="1" minValue="408" maxValue="62400"/>
    </cacheField>
    <cacheField name="Amount" numFmtId="164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164">
      <sharedItems containsMixedTypes="1" containsNumber="1" containsInteger="1" minValue="200" maxValue="52000"/>
    </cacheField>
    <cacheField name="Amount" numFmtId="164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164">
      <sharedItems containsSemiMixedTypes="0" containsString="0" containsNumber="1" containsInteger="1" minValue="200" maxValue="52000"/>
    </cacheField>
    <cacheField name="Selling Price" numFmtId="164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Table7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5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164" showAll="0"/>
    <pivotField numFmtId="164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164" showAll="0"/>
    <pivotField dataField="1" numFmtId="164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164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164" showAll="0"/>
    <pivotField numFmtId="164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data" displayName="customersdata" ref="D5:G12" totalsRowShown="0" headerRowDxfId="47" dataDxfId="46">
  <autoFilter ref="D5:G12" xr:uid="{0D8EDAF4-9F55-4D95-8363-29B2401224DA}"/>
  <tableColumns count="4">
    <tableColumn id="1" xr3:uid="{A028F778-FAE2-4DA3-9E91-62E658D36DF6}" name="Cust_ID" dataDxfId="45"/>
    <tableColumn id="2" xr3:uid="{BCB3C8F0-9DF4-4900-8C66-81EE87B434F8}" name="Name" dataDxfId="44"/>
    <tableColumn id="3" xr3:uid="{FE0BAB7F-3A2F-433A-9582-E73617E2FB67}" name="Email" dataDxfId="43"/>
    <tableColumn id="4" xr3:uid="{842A10DD-1F38-4C5D-8EFB-A221D293F165}" name="Address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data" displayName="vendorsdata" ref="D5:H15" totalsRowShown="0" headerRowDxfId="41" dataDxfId="40">
  <autoFilter ref="D5:H15" xr:uid="{A12D6322-E072-4CD6-B243-64F6749A3BC8}"/>
  <tableColumns count="5">
    <tableColumn id="1" xr3:uid="{C918567B-AA6D-4722-901E-0B9DF50E02B0}" name="HSN Code" dataDxfId="39"/>
    <tableColumn id="2" xr3:uid="{C2C48FD5-FD9B-4E3C-98B8-D75FB6A2077A}" name="Product Name" dataDxfId="38"/>
    <tableColumn id="3" xr3:uid="{A07A3EE5-3FD1-4333-9581-2DDCDB3D7A8A}" name="Vendor Name" dataDxfId="37"/>
    <tableColumn id="4" xr3:uid="{8A74C083-67EC-4C86-BFF4-993ECEB89735}" name="Phone" dataDxfId="36"/>
    <tableColumn id="5" xr3:uid="{1193D20E-2B1E-4EA8-90A8-30BDFF23CFCB}" name="Address" dataDxfId="3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Table4" displayName="Table4" ref="D5:G15" totalsRowShown="0" headerRowDxfId="34">
  <autoFilter ref="D5:G15" xr:uid="{B32B01B6-81F6-4929-A637-9CA357EBE280}"/>
  <tableColumns count="4">
    <tableColumn id="1" xr3:uid="{08EDD484-6CDD-4BC0-91E5-06E7A4DE9FDA}" name="HSN Code" dataDxfId="33"/>
    <tableColumn id="2" xr3:uid="{62C7355B-8C5F-4CA0-84C6-CD709FC19FDF}" name="Product Name" dataDxfId="32"/>
    <tableColumn id="3" xr3:uid="{D65B4A46-653D-4F59-B768-AC754E8555A1}" name="Cost" dataDxfId="31"/>
    <tableColumn id="4" xr3:uid="{6028FF07-9D22-4D25-A68E-76575D20E9CB}" name="Selling 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29" dataDxfId="28">
  <autoFilter ref="D5:J22" xr:uid="{7F69DB1B-F78C-440F-8379-D74F3737A441}"/>
  <tableColumns count="7">
    <tableColumn id="1" xr3:uid="{281F2F20-031A-4206-BE02-B74A64165CDE}" name="HSN Code" dataDxfId="27"/>
    <tableColumn id="2" xr3:uid="{58E6BB63-F36F-47AB-8E5F-3D0968883888}" name="Product Name" dataDxfId="26">
      <calculatedColumnFormula>IFERROR(VLOOKUP(purchase[[#This Row],[HSN Code]],Table4[#All],2,0),"")</calculatedColumnFormula>
    </tableColumn>
    <tableColumn id="3" xr3:uid="{C0D568B3-CC9D-4E41-9E03-F05F5F4B75AE}" name="Vendor" dataDxfId="25">
      <calculatedColumnFormula>IFERROR(VLOOKUP(purchase[[#This Row],[HSN Code]],vendorsdata[#All],3,0),"")</calculatedColumnFormula>
    </tableColumn>
    <tableColumn id="4" xr3:uid="{E7264B9C-1D7E-4A57-935A-E4EDF2794062}" name="Date" dataDxfId="24"/>
    <tableColumn id="5" xr3:uid="{C70A9A5A-AF9E-4E17-855D-CFA6DC456170}" name="Units" dataDxfId="23"/>
    <tableColumn id="6" xr3:uid="{313BBF4F-C6E1-4967-9FE1-5BB23793BA88}" name="Cost" dataDxfId="22">
      <calculatedColumnFormula>IFERROR(VLOOKUP(purchase[[#This Row],[HSN Code]],Table4[#All],3,0),"")</calculatedColumnFormula>
    </tableColumn>
    <tableColumn id="7" xr3:uid="{F7BEFE5D-F2EE-41A6-9CE6-265FCB997B14}" name="Amount" dataDxfId="21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20" dataDxfId="19">
  <autoFilter ref="D5:L21" xr:uid="{EDED9A71-0A3D-4455-94EF-277D3CC83DA3}"/>
  <tableColumns count="9">
    <tableColumn id="1" xr3:uid="{A0F7ED1A-E4E3-4EA1-BA05-75F57C56799A}" name="Cust_ID" dataDxfId="18"/>
    <tableColumn id="2" xr3:uid="{256C1B52-FCC4-4F50-B756-A3AC152CA9E5}" name="Cust_Name" dataDxfId="17">
      <calculatedColumnFormula>IFERROR(VLOOKUP(sales[[#This Row],[Cust_ID]],customersdata[#All],2,0),"")</calculatedColumnFormula>
    </tableColumn>
    <tableColumn id="3" xr3:uid="{FE9140E4-CB8B-4372-BEA9-CCD9BF62B00E}" name="HSN Code" dataDxfId="16"/>
    <tableColumn id="4" xr3:uid="{2A0A64FE-6454-43F5-B726-85CC124EEBC8}" name="Product Name" dataDxfId="15">
      <calculatedColumnFormula>IFERROR(VLOOKUP(sales[[#This Row],[HSN Code]],Table4[#All],2,0),"")</calculatedColumnFormula>
    </tableColumn>
    <tableColumn id="5" xr3:uid="{A003305E-C804-41D6-9152-341D318EE379}" name="Date" dataDxfId="14"/>
    <tableColumn id="6" xr3:uid="{D17F4138-C7C6-406B-A63C-90F1DDCFBEBF}" name="Stock(Units)" dataDxfId="13">
      <calculatedColumnFormula>IFERROR(VLOOKUP(sales[[#This Row],[HSN Code]],Table7[[#All],[HSN Code]:[Stock]],6,0),"")</calculatedColumnFormula>
    </tableColumn>
    <tableColumn id="7" xr3:uid="{C7B052F3-CCF7-4E96-877D-3F26A203BDFF}" name="Units" dataDxfId="12"/>
    <tableColumn id="8" xr3:uid="{02D41819-BB7A-46F6-BD5C-0188DF9772A0}" name="Price" dataDxfId="11">
      <calculatedColumnFormula>IFERROR(VLOOKUP(sales[[#This Row],[HSN Code]],Table4[#All],4,0),"")</calculatedColumnFormula>
    </tableColumn>
    <tableColumn id="9" xr3:uid="{2FB962C8-D7FC-4E2D-8174-D8A15E771C1B}" name="Amount" dataDxfId="10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Table7" displayName="Table7" ref="D5:K18" totalsRowShown="0" headerRowDxfId="9" dataDxfId="8">
  <autoFilter ref="D5:K18" xr:uid="{09F3C46D-4B6E-4F1F-BC80-5D1AE2A51D2B}"/>
  <tableColumns count="8">
    <tableColumn id="1" xr3:uid="{FEA2C901-8333-45F5-AD7B-289B7EEB07A3}" name="HSN Code" dataDxfId="7">
      <calculatedColumnFormula>IFERROR(Table4[[#This Row],[HSN Code]],"")</calculatedColumnFormula>
    </tableColumn>
    <tableColumn id="2" xr3:uid="{5B409354-BCF7-4A87-B8A5-ECC6BA2FC4E7}" name="Product Name" dataDxfId="6">
      <calculatedColumnFormula>IFERROR(Table4[[#This Row],[Product Name]],"")</calculatedColumnFormula>
    </tableColumn>
    <tableColumn id="3" xr3:uid="{33A3B97F-F797-48FB-B05C-5FC1D76C4611}" name="Cost" dataDxfId="5">
      <calculatedColumnFormula>IFERROR(Table4[[#This Row],[Cost]],"")</calculatedColumnFormula>
    </tableColumn>
    <tableColumn id="4" xr3:uid="{81A9F783-F5A1-42A4-A34C-E453BEBBC4DA}" name="P Units" dataDxfId="4">
      <calculatedColumnFormula>SUMIF(purchase[Product Name],Table7[[#This Row],[Product Name]],purchase[Units])</calculatedColumnFormula>
    </tableColumn>
    <tableColumn id="5" xr3:uid="{482669EB-EC97-42F4-B888-565CCCD2CC30}" name="S Units" dataDxfId="3">
      <calculatedColumnFormula>SUMIF(sales[Product Name],Table7[[#This Row],[Product Name]],sales[Units])</calculatedColumnFormula>
    </tableColumn>
    <tableColumn id="6" xr3:uid="{7C00E586-B911-4250-82F9-09788CBA5FE0}" name="Stock" dataDxfId="2">
      <calculatedColumnFormula>Table7[[#This Row],[P Units]]-Table7[[#This Row],[S Units]]</calculatedColumnFormula>
    </tableColumn>
    <tableColumn id="8" xr3:uid="{2D8C8997-402C-47FE-A877-DACA414D2822}" name="Stock Amt." dataDxfId="1">
      <calculatedColumnFormula>IFERROR(Table7[[#This Row],[Cost]]*Table7[[#This Row],[Stock]],"")</calculatedColumnFormula>
    </tableColumn>
    <tableColumn id="7" xr3:uid="{E0C323AF-E1F3-4B76-AAA2-29F55812982A}" name="notifications" dataDxfId="0">
      <calculatedColumnFormula>IFERROR(IF(Table7[[#This Row],[Stock]]&lt;5,"📞 "&amp;Table7[[#This Row],[Product Name]]&amp;" Needs To Re-Order ! PH.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B2:O19"/>
  <sheetViews>
    <sheetView showGridLines="0" showRowColHeaders="0" tabSelected="1" zoomScale="85" zoomScaleNormal="85" workbookViewId="0"/>
  </sheetViews>
  <sheetFormatPr defaultColWidth="8.76953125" defaultRowHeight="25"/>
  <cols>
    <col min="1" max="1" width="1.6328125" style="1" customWidth="1"/>
    <col min="2" max="2" width="14.5" style="1" customWidth="1"/>
    <col min="3" max="3" width="1.7265625" style="1" customWidth="1"/>
    <col min="4" max="7" width="8.76953125" style="1"/>
    <col min="8" max="8" width="14.40625" style="1" customWidth="1"/>
    <col min="9" max="9" width="25.86328125" style="1" customWidth="1"/>
    <col min="10" max="16384" width="8.76953125" style="1"/>
  </cols>
  <sheetData>
    <row r="2" spans="2:15">
      <c r="B2" s="13"/>
      <c r="O2" s="2"/>
    </row>
    <row r="3" spans="2:15">
      <c r="B3" s="14"/>
    </row>
    <row r="4" spans="2:15">
      <c r="B4" s="14"/>
    </row>
    <row r="5" spans="2:15">
      <c r="B5" s="14"/>
    </row>
    <row r="6" spans="2:15">
      <c r="B6" s="14"/>
    </row>
    <row r="7" spans="2:15">
      <c r="B7" s="14"/>
      <c r="I7" s="18" t="s">
        <v>79</v>
      </c>
    </row>
    <row r="8" spans="2:15">
      <c r="B8" s="14"/>
      <c r="I8" s="16" t="str" cm="1">
        <f t="array" ref="I8:I11">_xlfn._xlws.FILTER(Table7[notifications],Table7[notifications]&lt;&gt;"")</f>
        <v>📞 Smart Watch Needs To Re-Order ! PH. 9812xxxxxx</v>
      </c>
    </row>
    <row r="9" spans="2:15">
      <c r="B9" s="14"/>
      <c r="I9" s="16" t="str">
        <v>📞 Laptop HP xyz i5 Needs To Re-Order ! PH. 9812xxxxxx</v>
      </c>
    </row>
    <row r="10" spans="2:15">
      <c r="B10" s="14" t="s">
        <v>0</v>
      </c>
      <c r="I10" s="16" t="str">
        <v>📞 Speakers Needs To Re-Order ! PH. 9814xxxxxx</v>
      </c>
    </row>
    <row r="11" spans="2:15">
      <c r="B11" s="14"/>
      <c r="I11" s="16" t="str">
        <v>📞 Tablets Needs To Re-Order ! PH. 9814xxxxxx</v>
      </c>
    </row>
    <row r="12" spans="2:15">
      <c r="B12" s="14"/>
      <c r="I12" s="16"/>
    </row>
    <row r="13" spans="2:15">
      <c r="B13" s="14"/>
      <c r="I13" s="16"/>
    </row>
    <row r="14" spans="2:15">
      <c r="B14" s="14"/>
      <c r="I14" s="16"/>
    </row>
    <row r="15" spans="2:15">
      <c r="B15" s="14"/>
      <c r="I15" s="16"/>
    </row>
    <row r="16" spans="2:15">
      <c r="B16" s="14"/>
      <c r="I16" s="16"/>
    </row>
    <row r="17" spans="2:9">
      <c r="B17" s="14"/>
      <c r="I17" s="16"/>
    </row>
    <row r="18" spans="2:9">
      <c r="B18" s="14"/>
      <c r="I18" s="16"/>
    </row>
    <row r="19" spans="2:9">
      <c r="B19" s="15"/>
      <c r="I19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topLeftCell="D1" zoomScale="85" zoomScaleNormal="85" workbookViewId="0"/>
  </sheetViews>
  <sheetFormatPr defaultRowHeight="25"/>
  <cols>
    <col min="1" max="1" width="13.1328125" bestFit="1" customWidth="1"/>
    <col min="3" max="3" width="13.08984375" customWidth="1"/>
    <col min="5" max="5" width="13.6796875" bestFit="1" customWidth="1"/>
    <col min="6" max="6" width="11.5" bestFit="1" customWidth="1"/>
  </cols>
  <sheetData>
    <row r="2" spans="1:6">
      <c r="A2" t="s">
        <v>80</v>
      </c>
      <c r="C2" t="s">
        <v>81</v>
      </c>
      <c r="E2" s="11" t="s">
        <v>91</v>
      </c>
      <c r="F2" t="s">
        <v>84</v>
      </c>
    </row>
    <row r="3" spans="1:6">
      <c r="A3" s="20">
        <v>7</v>
      </c>
      <c r="C3">
        <f>GETPIVOTDATA("Name",$A$2)</f>
        <v>7</v>
      </c>
      <c r="E3" s="12" t="s">
        <v>8</v>
      </c>
      <c r="F3" s="9">
        <v>252000</v>
      </c>
    </row>
    <row r="4" spans="1:6">
      <c r="E4" s="12" t="s">
        <v>20</v>
      </c>
      <c r="F4" s="9">
        <v>362400</v>
      </c>
    </row>
    <row r="5" spans="1:6">
      <c r="A5" t="s">
        <v>82</v>
      </c>
      <c r="C5" t="s">
        <v>83</v>
      </c>
      <c r="E5" s="12" t="s">
        <v>17</v>
      </c>
      <c r="F5" s="9">
        <v>405096</v>
      </c>
    </row>
    <row r="6" spans="1:6">
      <c r="A6" s="20">
        <v>10</v>
      </c>
      <c r="C6">
        <f>GETPIVOTDATA("Product Name",$A$5)</f>
        <v>10</v>
      </c>
      <c r="E6" s="12" t="s">
        <v>11</v>
      </c>
      <c r="F6" s="9">
        <v>579600</v>
      </c>
    </row>
    <row r="7" spans="1:6">
      <c r="E7" s="12" t="s">
        <v>14</v>
      </c>
      <c r="F7" s="9">
        <v>1400292</v>
      </c>
    </row>
    <row r="8" spans="1:6">
      <c r="A8" t="s">
        <v>84</v>
      </c>
      <c r="C8" t="s">
        <v>85</v>
      </c>
      <c r="E8" s="12" t="s">
        <v>92</v>
      </c>
      <c r="F8" s="9">
        <v>2999388</v>
      </c>
    </row>
    <row r="9" spans="1:6">
      <c r="A9" s="9">
        <v>5543995</v>
      </c>
      <c r="C9" s="10">
        <f>GETPIVOTDATA("Amount",$A$8)</f>
        <v>5543995</v>
      </c>
    </row>
    <row r="11" spans="1:6">
      <c r="A11" t="s">
        <v>84</v>
      </c>
      <c r="C11" t="s">
        <v>86</v>
      </c>
    </row>
    <row r="12" spans="1:6">
      <c r="A12" s="9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>
      <c r="E13" s="12" t="s">
        <v>35</v>
      </c>
      <c r="F13" s="20">
        <v>14</v>
      </c>
    </row>
    <row r="14" spans="1:6">
      <c r="E14" s="12" t="s">
        <v>48</v>
      </c>
      <c r="F14" s="20">
        <v>37</v>
      </c>
    </row>
    <row r="15" spans="1:6">
      <c r="E15" s="12" t="s">
        <v>54</v>
      </c>
      <c r="F15" s="20">
        <v>42</v>
      </c>
    </row>
    <row r="16" spans="1:6">
      <c r="A16" t="s">
        <v>88</v>
      </c>
      <c r="C16" t="s">
        <v>89</v>
      </c>
      <c r="E16" s="12" t="s">
        <v>59</v>
      </c>
      <c r="F16" s="20">
        <v>52</v>
      </c>
    </row>
    <row r="17" spans="1:6">
      <c r="A17" s="20">
        <v>2984097</v>
      </c>
      <c r="C17" s="10">
        <f>GETPIVOTDATA("Stock Amt.",$A$16)</f>
        <v>2984097</v>
      </c>
      <c r="E17" s="12" t="s">
        <v>41</v>
      </c>
      <c r="F17" s="20">
        <v>65</v>
      </c>
    </row>
    <row r="18" spans="1:6">
      <c r="E18" s="12" t="s">
        <v>92</v>
      </c>
      <c r="F18" s="20">
        <v>210</v>
      </c>
    </row>
    <row r="19" spans="1:6">
      <c r="C19" t="s">
        <v>90</v>
      </c>
    </row>
    <row r="20" spans="1:6">
      <c r="C20" s="10">
        <f>C12+C17-C9</f>
        <v>511979.59999999963</v>
      </c>
    </row>
    <row r="21" spans="1:6">
      <c r="E21" s="11" t="s">
        <v>91</v>
      </c>
      <c r="F21" t="s">
        <v>94</v>
      </c>
    </row>
    <row r="22" spans="1:6">
      <c r="E22" s="12" t="s">
        <v>51</v>
      </c>
      <c r="F22" s="20">
        <v>14</v>
      </c>
    </row>
    <row r="23" spans="1:6">
      <c r="E23" s="12" t="s">
        <v>41</v>
      </c>
      <c r="F23" s="20">
        <v>35</v>
      </c>
    </row>
    <row r="24" spans="1:6">
      <c r="E24" s="12" t="s">
        <v>54</v>
      </c>
      <c r="F24" s="20">
        <v>13</v>
      </c>
    </row>
    <row r="25" spans="1:6">
      <c r="E25" s="12" t="s">
        <v>35</v>
      </c>
      <c r="F25" s="20">
        <v>16</v>
      </c>
    </row>
    <row r="26" spans="1:6">
      <c r="E26" s="12" t="s">
        <v>45</v>
      </c>
      <c r="F26" s="20">
        <v>20</v>
      </c>
    </row>
    <row r="27" spans="1:6">
      <c r="E27" s="12" t="s">
        <v>48</v>
      </c>
      <c r="F27" s="20">
        <v>13</v>
      </c>
    </row>
    <row r="28" spans="1:6">
      <c r="E28" s="12" t="s">
        <v>31</v>
      </c>
      <c r="F28" s="20">
        <v>36</v>
      </c>
    </row>
    <row r="29" spans="1:6">
      <c r="E29" s="12" t="s">
        <v>59</v>
      </c>
      <c r="F29" s="20">
        <v>3</v>
      </c>
    </row>
    <row r="30" spans="1:6">
      <c r="E30" s="12" t="s">
        <v>62</v>
      </c>
      <c r="F30" s="20">
        <v>32</v>
      </c>
    </row>
    <row r="31" spans="1:6">
      <c r="E31" s="12" t="s">
        <v>38</v>
      </c>
      <c r="F31" s="20">
        <v>35</v>
      </c>
    </row>
    <row r="32" spans="1:6">
      <c r="E32" s="12" t="s">
        <v>92</v>
      </c>
      <c r="F32" s="20">
        <v>217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zoomScaleNormal="100" workbookViewId="0"/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8.76953125" style="1" customWidth="1"/>
    <col min="5" max="8" width="15.6328125" style="1" customWidth="1"/>
    <col min="9" max="16384" width="8.76953125" style="1"/>
  </cols>
  <sheetData>
    <row r="1" spans="2:17">
      <c r="B1" s="1"/>
    </row>
    <row r="2" spans="2:17">
      <c r="B2" s="13"/>
      <c r="Q2" s="2"/>
    </row>
    <row r="3" spans="2:17">
      <c r="B3" s="14"/>
    </row>
    <row r="4" spans="2:17">
      <c r="B4" s="14"/>
    </row>
    <row r="5" spans="2:17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>
      <c r="B13" s="14"/>
    </row>
    <row r="14" spans="2:17">
      <c r="B14" s="14"/>
    </row>
    <row r="15" spans="2:17">
      <c r="B15" s="14"/>
    </row>
    <row r="16" spans="2:17">
      <c r="B16" s="14"/>
    </row>
    <row r="17" spans="2:2">
      <c r="B17" s="14"/>
    </row>
    <row r="18" spans="2:2">
      <c r="B18" s="14"/>
    </row>
    <row r="19" spans="2:2">
      <c r="B19" s="15"/>
    </row>
    <row r="20" spans="2:2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topLeftCell="A7" workbookViewId="0"/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8.76953125" style="1"/>
    <col min="5" max="8" width="13.76953125" style="1" customWidth="1"/>
    <col min="9" max="16384" width="8.76953125" style="1"/>
  </cols>
  <sheetData>
    <row r="1" spans="2:17">
      <c r="B1" s="1"/>
    </row>
    <row r="2" spans="2:17">
      <c r="B2" s="13"/>
      <c r="Q2" s="2"/>
    </row>
    <row r="3" spans="2:17">
      <c r="B3" s="14"/>
    </row>
    <row r="4" spans="2:17">
      <c r="B4" s="14"/>
    </row>
    <row r="5" spans="2:17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>
      <c r="B16" s="14"/>
    </row>
    <row r="17" spans="2:2">
      <c r="B17" s="14"/>
    </row>
    <row r="18" spans="2:2">
      <c r="B18" s="14"/>
    </row>
    <row r="19" spans="2:2">
      <c r="B19" s="15"/>
    </row>
    <row r="20" spans="2:2">
      <c r="B20" s="8"/>
    </row>
    <row r="21" spans="2:2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topLeftCell="A7" workbookViewId="0"/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8.76953125" style="1"/>
    <col min="5" max="5" width="15.7265625" style="1" customWidth="1"/>
    <col min="6" max="6" width="9.6328125" style="1" bestFit="1" customWidth="1"/>
    <col min="7" max="7" width="9.76953125" style="1" customWidth="1"/>
    <col min="8" max="16384" width="8.76953125" style="1"/>
  </cols>
  <sheetData>
    <row r="1" spans="2:17">
      <c r="B1" s="1"/>
    </row>
    <row r="2" spans="2:17">
      <c r="B2" s="13"/>
      <c r="Q2" s="2"/>
    </row>
    <row r="3" spans="2:17">
      <c r="B3" s="14"/>
    </row>
    <row r="4" spans="2:17">
      <c r="B4" s="14"/>
    </row>
    <row r="5" spans="2:17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>
      <c r="B16" s="14"/>
    </row>
    <row r="17" spans="2:2">
      <c r="B17" s="14"/>
    </row>
    <row r="18" spans="2:2">
      <c r="B18" s="14"/>
    </row>
    <row r="19" spans="2:2">
      <c r="B19" s="15"/>
    </row>
    <row r="20" spans="2:2">
      <c r="B20" s="8"/>
    </row>
    <row r="21" spans="2:2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workbookViewId="0">
      <selection activeCell="E6" sqref="E6"/>
    </sheetView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8.76953125" style="1"/>
    <col min="5" max="5" width="17.2265625" style="1" customWidth="1"/>
    <col min="6" max="16384" width="8.76953125" style="1"/>
  </cols>
  <sheetData>
    <row r="1" spans="2:17">
      <c r="B1" s="1"/>
    </row>
    <row r="2" spans="2:17">
      <c r="B2" s="13"/>
      <c r="Q2" s="2"/>
    </row>
    <row r="3" spans="2:17">
      <c r="B3" s="14"/>
    </row>
    <row r="4" spans="2:17">
      <c r="B4" s="14"/>
    </row>
    <row r="5" spans="2:17">
      <c r="B5" s="14"/>
    </row>
    <row r="6" spans="2:17">
      <c r="B6" s="14"/>
      <c r="E6" s="6" t="s">
        <v>66</v>
      </c>
    </row>
    <row r="7" spans="2:17">
      <c r="B7" s="14"/>
    </row>
    <row r="8" spans="2:17">
      <c r="B8" s="14"/>
      <c r="E8" s="6" t="s">
        <v>67</v>
      </c>
    </row>
    <row r="9" spans="2:17">
      <c r="B9" s="14"/>
    </row>
    <row r="10" spans="2:17">
      <c r="B10" s="14" t="s">
        <v>0</v>
      </c>
    </row>
    <row r="11" spans="2:17">
      <c r="B11" s="14"/>
    </row>
    <row r="12" spans="2:17">
      <c r="B12" s="14"/>
    </row>
    <row r="13" spans="2:17">
      <c r="B13" s="14"/>
    </row>
    <row r="14" spans="2:17">
      <c r="B14" s="14"/>
    </row>
    <row r="15" spans="2:17">
      <c r="B15" s="14"/>
    </row>
    <row r="16" spans="2:17">
      <c r="B16" s="14"/>
    </row>
    <row r="17" spans="2:2">
      <c r="B17" s="14"/>
    </row>
    <row r="18" spans="2:2">
      <c r="B18" s="14"/>
    </row>
    <row r="19" spans="2:2">
      <c r="B19" s="15"/>
    </row>
    <row r="20" spans="2:2">
      <c r="B20" s="8"/>
    </row>
    <row r="21" spans="2:2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topLeftCell="E4" workbookViewId="0">
      <selection activeCell="J6" sqref="J6:J22"/>
    </sheetView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8.76953125" style="1" customWidth="1"/>
    <col min="5" max="6" width="12.6328125" style="1" customWidth="1"/>
    <col min="7" max="9" width="8.76953125" style="1"/>
    <col min="10" max="10" width="9.1796875" style="1" bestFit="1" customWidth="1"/>
    <col min="11" max="16384" width="8.76953125" style="1"/>
  </cols>
  <sheetData>
    <row r="1" spans="2:17">
      <c r="B1" s="1"/>
    </row>
    <row r="2" spans="2:17">
      <c r="B2" s="13"/>
      <c r="Q2" s="2"/>
    </row>
    <row r="3" spans="2:17">
      <c r="B3" s="14"/>
    </row>
    <row r="4" spans="2:17">
      <c r="B4" s="14"/>
    </row>
    <row r="5" spans="2:17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>
      <c r="B6" s="14"/>
      <c r="D6" s="4" t="s">
        <v>44</v>
      </c>
      <c r="E6" s="4" t="str">
        <f>IFERROR(VLOOKUP(purchase[[#This Row],[HSN Code]],Table4[#All],2,0),"")</f>
        <v>Mouse</v>
      </c>
      <c r="F6" s="4" t="str">
        <f>IFERROR(VLOOKUP(purchase[[#This Row],[HSN Code]],vendorsdata[#All],3,0),"")</f>
        <v>GG Traders</v>
      </c>
      <c r="G6" s="7">
        <v>45292</v>
      </c>
      <c r="H6" s="4">
        <v>20</v>
      </c>
      <c r="I6" s="5">
        <f>IFERROR(VLOOKUP(purchase[[#This Row],[HSN Code]],Table4[#All],3,0),"")</f>
        <v>200</v>
      </c>
      <c r="J6" s="5">
        <f>IFERROR(purchase[[#This Row],[Units]]*purchase[[#This Row],[Cost]],"")</f>
        <v>4000</v>
      </c>
      <c r="K6" s="4"/>
    </row>
    <row r="7" spans="2:17">
      <c r="B7" s="14"/>
      <c r="D7" s="4" t="s">
        <v>53</v>
      </c>
      <c r="E7" s="4" t="str">
        <f>IFERROR(VLOOKUP(purchase[[#This Row],[HSN Code]],Table4[#All],2,0),"")</f>
        <v>Headphones</v>
      </c>
      <c r="F7" s="4" t="str">
        <f>IFERROR(VLOOKUP(purchase[[#This Row],[HSN Code]],vendorsdata[#All],3,0),"")</f>
        <v>Compac</v>
      </c>
      <c r="G7" s="7">
        <v>45293</v>
      </c>
      <c r="H7" s="4">
        <v>10</v>
      </c>
      <c r="I7" s="5">
        <f>IFERROR(VLOOKUP(purchase[[#This Row],[HSN Code]],Table4[#All],3,0),"")</f>
        <v>799</v>
      </c>
      <c r="J7" s="5">
        <f>IFERROR(purchase[[#This Row],[Units]]*purchase[[#This Row],[Cost]],"")</f>
        <v>7990</v>
      </c>
      <c r="K7" s="4"/>
    </row>
    <row r="8" spans="2:17">
      <c r="B8" s="14"/>
      <c r="D8" s="4" t="s">
        <v>47</v>
      </c>
      <c r="E8" s="4" t="str">
        <f>IFERROR(VLOOKUP(purchase[[#This Row],[HSN Code]],Table4[#All],2,0),"")</f>
        <v>Rgb Keyboard</v>
      </c>
      <c r="F8" s="4" t="str">
        <f>IFERROR(VLOOKUP(purchase[[#This Row],[HSN Code]],vendorsdata[#All],3,0),"")</f>
        <v>GG Traders</v>
      </c>
      <c r="G8" s="7">
        <v>45294</v>
      </c>
      <c r="H8" s="4">
        <v>50</v>
      </c>
      <c r="I8" s="5">
        <f>IFERROR(VLOOKUP(purchase[[#This Row],[HSN Code]],Table4[#All],3,0),"")</f>
        <v>340</v>
      </c>
      <c r="J8" s="5">
        <f>IFERROR(purchase[[#This Row],[Units]]*purchase[[#This Row],[Cost]],"")</f>
        <v>17000</v>
      </c>
      <c r="K8" s="4"/>
    </row>
    <row r="9" spans="2:17">
      <c r="B9" s="14"/>
      <c r="D9" s="4" t="s">
        <v>40</v>
      </c>
      <c r="E9" s="4" t="str">
        <f>IFERROR(VLOOKUP(purchase[[#This Row],[HSN Code]],Table4[#All],2,0),"")</f>
        <v>Desktop</v>
      </c>
      <c r="F9" s="4" t="str">
        <f>IFERROR(VLOOKUP(purchase[[#This Row],[HSN Code]],vendorsdata[#All],3,0),"")</f>
        <v>GG Traders</v>
      </c>
      <c r="G9" s="7">
        <v>45295</v>
      </c>
      <c r="H9" s="4">
        <v>100</v>
      </c>
      <c r="I9" s="5">
        <f>IFERROR(VLOOKUP(purchase[[#This Row],[HSN Code]],Table4[#All],3,0),"")</f>
        <v>21000</v>
      </c>
      <c r="J9" s="5">
        <f>IFERROR(purchase[[#This Row],[Units]]*purchase[[#This Row],[Cost]],"")</f>
        <v>2100000</v>
      </c>
      <c r="K9" s="4"/>
    </row>
    <row r="10" spans="2:17">
      <c r="B10" s="14" t="s">
        <v>0</v>
      </c>
      <c r="D10" s="4" t="s">
        <v>50</v>
      </c>
      <c r="E10" s="4" t="str">
        <f>IFERROR(VLOOKUP(purchase[[#This Row],[HSN Code]],Table4[#All],2,0),"")</f>
        <v>Camera</v>
      </c>
      <c r="F10" s="4" t="str">
        <f>IFERROR(VLOOKUP(purchase[[#This Row],[HSN Code]],vendorsdata[#All],3,0),"")</f>
        <v>GG Traders</v>
      </c>
      <c r="G10" s="7">
        <v>45296</v>
      </c>
      <c r="H10" s="4">
        <v>20</v>
      </c>
      <c r="I10" s="5">
        <f>IFERROR(VLOOKUP(purchase[[#This Row],[HSN Code]],Table4[#All],3,0),"")</f>
        <v>52000</v>
      </c>
      <c r="J10" s="5">
        <f>IFERROR(purchase[[#This Row],[Units]]*purchase[[#This Row],[Cost]],"")</f>
        <v>1040000</v>
      </c>
      <c r="K10" s="4"/>
    </row>
    <row r="11" spans="2:17">
      <c r="B11" s="14"/>
      <c r="D11" s="4" t="s">
        <v>30</v>
      </c>
      <c r="E11" s="4" t="str">
        <f>IFERROR(VLOOKUP(purchase[[#This Row],[HSN Code]],Table4[#All],2,0),"")</f>
        <v>Smart Watch</v>
      </c>
      <c r="F11" s="4" t="str">
        <f>IFERROR(VLOOKUP(purchase[[#This Row],[HSN Code]],vendorsdata[#All],3,0),"")</f>
        <v>Tech99</v>
      </c>
      <c r="G11" s="7">
        <v>45297</v>
      </c>
      <c r="H11" s="4">
        <v>40</v>
      </c>
      <c r="I11" s="5">
        <f>IFERROR(VLOOKUP(purchase[[#This Row],[HSN Code]],Table4[#All],3,0),"")</f>
        <v>980</v>
      </c>
      <c r="J11" s="5">
        <f>IFERROR(purchase[[#This Row],[Units]]*purchase[[#This Row],[Cost]],"")</f>
        <v>39200</v>
      </c>
      <c r="K11" s="4"/>
    </row>
    <row r="12" spans="2:17">
      <c r="B12" s="14"/>
      <c r="D12" s="4" t="s">
        <v>34</v>
      </c>
      <c r="E12" s="4" t="str">
        <f>IFERROR(VLOOKUP(purchase[[#This Row],[HSN Code]],Table4[#All],2,0),"")</f>
        <v>Laptop HP xyz i5</v>
      </c>
      <c r="F12" s="4" t="str">
        <f>IFERROR(VLOOKUP(purchase[[#This Row],[HSN Code]],vendorsdata[#All],3,0),"")</f>
        <v>Tech99</v>
      </c>
      <c r="G12" s="7">
        <v>45298</v>
      </c>
      <c r="H12" s="4">
        <v>30</v>
      </c>
      <c r="I12" s="5">
        <f>IFERROR(VLOOKUP(purchase[[#This Row],[HSN Code]],Table4[#All],3,0),"")</f>
        <v>34500</v>
      </c>
      <c r="J12" s="5">
        <f>IFERROR(purchase[[#This Row],[Units]]*purchase[[#This Row],[Cost]],"")</f>
        <v>1035000</v>
      </c>
      <c r="K12" s="4"/>
    </row>
    <row r="13" spans="2:17">
      <c r="B13" s="14"/>
      <c r="D13" s="4" t="s">
        <v>37</v>
      </c>
      <c r="E13" s="4" t="str">
        <f>IFERROR(VLOOKUP(purchase[[#This Row],[HSN Code]],Table4[#All],2,0),"")</f>
        <v>Wireless Printer</v>
      </c>
      <c r="F13" s="4" t="str">
        <f>IFERROR(VLOOKUP(purchase[[#This Row],[HSN Code]],vendorsdata[#All],3,0),"")</f>
        <v>Tech99</v>
      </c>
      <c r="G13" s="7">
        <v>45299</v>
      </c>
      <c r="H13" s="4">
        <v>40</v>
      </c>
      <c r="I13" s="5">
        <f>IFERROR(VLOOKUP(purchase[[#This Row],[HSN Code]],Table4[#All],3,0),"")</f>
        <v>4600</v>
      </c>
      <c r="J13" s="5">
        <f>IFERROR(purchase[[#This Row],[Units]]*purchase[[#This Row],[Cost]],"")</f>
        <v>184000</v>
      </c>
      <c r="K13" s="4"/>
    </row>
    <row r="14" spans="2:17">
      <c r="B14" s="14"/>
      <c r="D14" s="4" t="s">
        <v>58</v>
      </c>
      <c r="E14" s="4" t="str">
        <f>IFERROR(VLOOKUP(purchase[[#This Row],[HSN Code]],Table4[#All],2,0),"")</f>
        <v>Speakers</v>
      </c>
      <c r="F14" s="4" t="str">
        <f>IFERROR(VLOOKUP(purchase[[#This Row],[HSN Code]],vendorsdata[#All],3,0),"")</f>
        <v>Compac</v>
      </c>
      <c r="G14" s="7">
        <v>45300</v>
      </c>
      <c r="H14" s="4">
        <v>55</v>
      </c>
      <c r="I14" s="5">
        <f>IFERROR(VLOOKUP(purchase[[#This Row],[HSN Code]],Table4[#All],3,0),"")</f>
        <v>670</v>
      </c>
      <c r="J14" s="5">
        <f>IFERROR(purchase[[#This Row],[Units]]*purchase[[#This Row],[Cost]],"")</f>
        <v>36850</v>
      </c>
      <c r="K14" s="4"/>
    </row>
    <row r="15" spans="2:17">
      <c r="B15" s="14"/>
      <c r="D15" s="4" t="s">
        <v>61</v>
      </c>
      <c r="E15" s="4" t="str">
        <f>IFERROR(VLOOKUP(purchase[[#This Row],[HSN Code]],Table4[#All],2,0),"")</f>
        <v>Tablets</v>
      </c>
      <c r="F15" s="4" t="str">
        <f>IFERROR(VLOOKUP(purchase[[#This Row],[HSN Code]],vendorsdata[#All],3,0),"")</f>
        <v>Compac</v>
      </c>
      <c r="G15" s="7">
        <v>45301</v>
      </c>
      <c r="H15" s="4">
        <v>40</v>
      </c>
      <c r="I15" s="5">
        <f>IFERROR(VLOOKUP(purchase[[#This Row],[HSN Code]],Table4[#All],3,0),"")</f>
        <v>23500</v>
      </c>
      <c r="J15" s="5">
        <f>IFERROR(purchase[[#This Row],[Units]]*purchase[[#This Row],[Cost]],"")</f>
        <v>940000</v>
      </c>
      <c r="K15" s="4"/>
    </row>
    <row r="16" spans="2:17">
      <c r="B16" s="14"/>
      <c r="D16" s="4" t="s">
        <v>53</v>
      </c>
      <c r="E16" s="4" t="str">
        <f>IFERROR(VLOOKUP(purchase[[#This Row],[HSN Code]],Table4[#All],2,0),"")</f>
        <v>Headphones</v>
      </c>
      <c r="F16" s="4" t="str">
        <f>IFERROR(VLOOKUP(purchase[[#This Row],[HSN Code]],vendorsdata[#All],3,0),"")</f>
        <v>Compac</v>
      </c>
      <c r="G16" s="7">
        <v>45301</v>
      </c>
      <c r="H16" s="4">
        <v>35</v>
      </c>
      <c r="I16" s="5">
        <f>IFERROR(VLOOKUP(purchase[[#This Row],[HSN Code]],Table4[#All],3,0),"")</f>
        <v>799</v>
      </c>
      <c r="J16" s="5">
        <f>IFERROR(purchase[[#This Row],[Units]]*purchase[[#This Row],[Cost]],"")</f>
        <v>27965</v>
      </c>
    </row>
    <row r="17" spans="2:10">
      <c r="B17" s="14"/>
      <c r="D17" s="4" t="s">
        <v>50</v>
      </c>
      <c r="E17" s="4" t="str">
        <f>IFERROR(VLOOKUP(purchase[[#This Row],[HSN Code]],Table4[#All],2,0),"")</f>
        <v>Camera</v>
      </c>
      <c r="F17" s="4" t="str">
        <f>IFERROR(VLOOKUP(purchase[[#This Row],[HSN Code]],vendorsdata[#All],3,0),"")</f>
        <v>GG Traders</v>
      </c>
      <c r="G17" s="7">
        <v>45301</v>
      </c>
      <c r="H17" s="4">
        <v>2</v>
      </c>
      <c r="I17" s="5">
        <f>IFERROR(VLOOKUP(purchase[[#This Row],[HSN Code]],Table4[#All],3,0),"")</f>
        <v>52000</v>
      </c>
      <c r="J17" s="5">
        <f>IFERROR(purchase[[#This Row],[Units]]*purchase[[#This Row],[Cost]],"")</f>
        <v>104000</v>
      </c>
    </row>
    <row r="18" spans="2:10">
      <c r="B18" s="14"/>
      <c r="D18" s="4" t="s">
        <v>53</v>
      </c>
      <c r="E18" s="4" t="str">
        <f>IFERROR(VLOOKUP(purchase[[#This Row],[HSN Code]],Table4[#All],2,0),"")</f>
        <v>Headphones</v>
      </c>
      <c r="F18" s="4" t="str">
        <f>IFERROR(VLOOKUP(purchase[[#This Row],[HSN Code]],vendorsdata[#All],3,0),"")</f>
        <v>Compac</v>
      </c>
      <c r="G18" s="7">
        <v>45301</v>
      </c>
      <c r="H18" s="4">
        <v>10</v>
      </c>
      <c r="I18" s="5">
        <f>IFERROR(VLOOKUP(purchase[[#This Row],[HSN Code]],Table4[#All],3,0),"")</f>
        <v>799</v>
      </c>
      <c r="J18" s="5">
        <f>IFERROR(purchase[[#This Row],[Units]]*purchase[[#This Row],[Cost]],"")</f>
        <v>7990</v>
      </c>
    </row>
    <row r="19" spans="2:10">
      <c r="B19" s="15"/>
      <c r="D19" s="4"/>
      <c r="E19" s="4" t="str">
        <f>IFERROR(VLOOKUP(purchase[[#This Row],[HSN Code]],Table4[#All],2,0),"")</f>
        <v/>
      </c>
      <c r="F19" s="4" t="str">
        <f>IFERROR(VLOOKUP(purchase[[#This Row],[HSN Code]],vendorsdata[#All],3,0),"")</f>
        <v/>
      </c>
      <c r="G19" s="4"/>
      <c r="H19" s="4"/>
      <c r="I19" s="5" t="str">
        <f>IFERROR(VLOOKUP(purchase[[#This Row],[HSN Code]],Table4[#All],3,0),"")</f>
        <v/>
      </c>
      <c r="J19" s="5" t="str">
        <f>IFERROR(purchase[[#This Row],[Units]]*purchase[[#This Row],[Cost]],"")</f>
        <v/>
      </c>
    </row>
    <row r="20" spans="2:10">
      <c r="B20" s="8"/>
      <c r="D20" s="4"/>
      <c r="E20" s="4" t="str">
        <f>IFERROR(VLOOKUP(purchase[[#This Row],[HSN Code]],Table4[#All],2,0),"")</f>
        <v/>
      </c>
      <c r="F20" s="4" t="str">
        <f>IFERROR(VLOOKUP(purchase[[#This Row],[HSN Code]],vendorsdata[#All],3,0),"")</f>
        <v/>
      </c>
      <c r="G20" s="4"/>
      <c r="H20" s="4"/>
      <c r="I20" s="5" t="str">
        <f>IFERROR(VLOOKUP(purchase[[#This Row],[HSN Code]],Table4[#All],3,0),"")</f>
        <v/>
      </c>
      <c r="J20" s="5" t="str">
        <f>IFERROR(purchase[[#This Row],[Units]]*purchase[[#This Row],[Cost]],"")</f>
        <v/>
      </c>
    </row>
    <row r="21" spans="2:10">
      <c r="B21" s="8"/>
      <c r="D21" s="4"/>
      <c r="E21" s="4" t="str">
        <f>IFERROR(VLOOKUP(purchase[[#This Row],[HSN Code]],Table4[#All],2,0),"")</f>
        <v/>
      </c>
      <c r="F21" s="4" t="str">
        <f>IFERROR(VLOOKUP(purchase[[#This Row],[HSN Code]],vendorsdata[#All],3,0),"")</f>
        <v/>
      </c>
      <c r="G21" s="4"/>
      <c r="H21" s="4"/>
      <c r="I21" s="5" t="str">
        <f>IFERROR(VLOOKUP(purchase[[#This Row],[HSN Code]],Table4[#All],3,0),"")</f>
        <v/>
      </c>
      <c r="J21" s="5" t="str">
        <f>IFERROR(purchase[[#This Row],[Units]]*purchase[[#This Row],[Cost]],"")</f>
        <v/>
      </c>
    </row>
    <row r="22" spans="2:10">
      <c r="B22" s="8"/>
      <c r="D22" s="4"/>
      <c r="E22" s="4" t="str">
        <f>IFERROR(VLOOKUP(purchase[[#This Row],[HSN Code]],Table4[#All],2,0),"")</f>
        <v/>
      </c>
      <c r="F22" s="4" t="str">
        <f>IFERROR(VLOOKUP(purchase[[#This Row],[HSN Code]],vendorsdata[#All],3,0),"")</f>
        <v/>
      </c>
      <c r="G22" s="4"/>
      <c r="H22" s="4"/>
      <c r="I22" s="5" t="str">
        <f>IFERROR(VLOOKUP(purchase[[#This Row],[HSN Code]],Table4[#All],3,0),"")</f>
        <v/>
      </c>
      <c r="J22" s="5" t="str">
        <f>IFERROR(purchase[[#This Row],[Units]]*purchase[[#This Row],[Cost]],"")</f>
        <v/>
      </c>
    </row>
    <row r="23" spans="2:10">
      <c r="B23" s="8"/>
    </row>
    <row r="24" spans="2:10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topLeftCell="E1" workbookViewId="0">
      <selection activeCell="L6" sqref="L6:L21"/>
    </sheetView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5.54296875" style="1" customWidth="1"/>
    <col min="5" max="5" width="9.36328125" style="1" customWidth="1"/>
    <col min="6" max="6" width="6.953125" style="1" customWidth="1"/>
    <col min="7" max="7" width="11.1328125" style="1" customWidth="1"/>
    <col min="8" max="8" width="8.76953125" style="1" customWidth="1"/>
    <col min="9" max="9" width="8.5" style="1" customWidth="1"/>
    <col min="10" max="10" width="4.86328125" style="1" customWidth="1"/>
    <col min="11" max="11" width="7.1328125" style="1" bestFit="1" customWidth="1"/>
    <col min="12" max="12" width="9.1796875" style="1" bestFit="1" customWidth="1"/>
    <col min="13" max="16384" width="8.76953125" style="1"/>
  </cols>
  <sheetData>
    <row r="1" spans="2:17">
      <c r="B1" s="1"/>
    </row>
    <row r="2" spans="2:17">
      <c r="B2" s="13"/>
      <c r="Q2" s="2"/>
    </row>
    <row r="3" spans="2:17">
      <c r="B3" s="14"/>
    </row>
    <row r="4" spans="2:17">
      <c r="B4" s="14"/>
    </row>
    <row r="5" spans="2:17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>
      <c r="B6" s="14"/>
      <c r="D6" s="3">
        <v>103</v>
      </c>
      <c r="E6" s="4" t="str">
        <f>IFERROR(VLOOKUP(sales[[#This Row],[Cust_ID]],customersdata[#All],2,0),"")</f>
        <v>99store</v>
      </c>
      <c r="F6" s="4" t="s">
        <v>53</v>
      </c>
      <c r="G6" s="4" t="str">
        <f>IFERROR(VLOOKUP(sales[[#This Row],[HSN Code]],Table4[#All],2,0),"")</f>
        <v>Headphones</v>
      </c>
      <c r="H6" s="7">
        <v>45292</v>
      </c>
      <c r="I6" s="4">
        <f>IFERROR(VLOOKUP(sales[[#This Row],[HSN Code]],Table7[[#All],[HSN Code]:[Stock]],6,0),"")</f>
        <v>13</v>
      </c>
      <c r="J6" s="4">
        <v>10</v>
      </c>
      <c r="K6" s="5">
        <f>IFERROR(VLOOKUP(sales[[#This Row],[HSN Code]],Table4[#All],4,0),"")</f>
        <v>958.8</v>
      </c>
      <c r="L6" s="5">
        <f>IFERROR(sales[[#This Row],[Units]]*sales[[#This Row],[Price]],"")</f>
        <v>9588</v>
      </c>
    </row>
    <row r="7" spans="2:17">
      <c r="B7" s="14"/>
      <c r="D7" s="3">
        <v>104</v>
      </c>
      <c r="E7" s="4" t="str">
        <f>IFERROR(VLOOKUP(sales[[#This Row],[Cust_ID]],customersdata[#All],2,0),"")</f>
        <v>Rajesh Kumar</v>
      </c>
      <c r="F7" s="4" t="s">
        <v>47</v>
      </c>
      <c r="G7" s="4" t="str">
        <f>IFERROR(VLOOKUP(sales[[#This Row],[HSN Code]],Table4[#All],2,0),"")</f>
        <v>Rgb Keyboard</v>
      </c>
      <c r="H7" s="7">
        <v>45293</v>
      </c>
      <c r="I7" s="4">
        <f>IFERROR(VLOOKUP(sales[[#This Row],[HSN Code]],Table7[[#All],[HSN Code]:[Stock]],6,0),"")</f>
        <v>13</v>
      </c>
      <c r="J7" s="4">
        <v>37</v>
      </c>
      <c r="K7" s="5">
        <f>IFERROR(VLOOKUP(sales[[#This Row],[HSN Code]],Table4[#All],4,0),"")</f>
        <v>408</v>
      </c>
      <c r="L7" s="5">
        <f>IFERROR(sales[[#This Row],[Units]]*sales[[#This Row],[Price]],"")</f>
        <v>15096</v>
      </c>
    </row>
    <row r="8" spans="2:17">
      <c r="B8" s="14"/>
      <c r="D8" s="3">
        <v>101</v>
      </c>
      <c r="E8" s="4" t="str">
        <f>IFERROR(VLOOKUP(sales[[#This Row],[Cust_ID]],customersdata[#All],2,0),"")</f>
        <v>Atul Ltd.</v>
      </c>
      <c r="F8" s="4" t="s">
        <v>40</v>
      </c>
      <c r="G8" s="4" t="str">
        <f>IFERROR(VLOOKUP(sales[[#This Row],[HSN Code]],Table4[#All],2,0),"")</f>
        <v>Desktop</v>
      </c>
      <c r="H8" s="7">
        <v>45294</v>
      </c>
      <c r="I8" s="4">
        <f>IFERROR(VLOOKUP(sales[[#This Row],[HSN Code]],Table7[[#All],[HSN Code]:[Stock]],6,0),"")</f>
        <v>35</v>
      </c>
      <c r="J8" s="4">
        <v>10</v>
      </c>
      <c r="K8" s="5">
        <f>IFERROR(VLOOKUP(sales[[#This Row],[HSN Code]],Table4[#All],4,0),"")</f>
        <v>25200</v>
      </c>
      <c r="L8" s="5">
        <f>IFERROR(sales[[#This Row],[Units]]*sales[[#This Row],[Price]],"")</f>
        <v>252000</v>
      </c>
    </row>
    <row r="9" spans="2:17">
      <c r="B9" s="14"/>
      <c r="D9" s="3">
        <v>100</v>
      </c>
      <c r="E9" s="4" t="str">
        <f>IFERROR(VLOOKUP(sales[[#This Row],[Cust_ID]],customersdata[#All],2,0),"")</f>
        <v>Ram sales</v>
      </c>
      <c r="F9" s="4" t="s">
        <v>53</v>
      </c>
      <c r="G9" s="4" t="str">
        <f>IFERROR(VLOOKUP(sales[[#This Row],[HSN Code]],Table4[#All],2,0),"")</f>
        <v>Headphones</v>
      </c>
      <c r="H9" s="7">
        <v>45295</v>
      </c>
      <c r="I9" s="4">
        <f>IFERROR(VLOOKUP(sales[[#This Row],[HSN Code]],Table7[[#All],[HSN Code]:[Stock]],6,0),"")</f>
        <v>13</v>
      </c>
      <c r="J9" s="4">
        <v>32</v>
      </c>
      <c r="K9" s="5">
        <f>IFERROR(VLOOKUP(sales[[#This Row],[HSN Code]],Table4[#All],4,0),"")</f>
        <v>958.8</v>
      </c>
      <c r="L9" s="5">
        <f>IFERROR(sales[[#This Row],[Units]]*sales[[#This Row],[Price]],"")</f>
        <v>30681.599999999999</v>
      </c>
    </row>
    <row r="10" spans="2:17">
      <c r="B10" s="14" t="s">
        <v>0</v>
      </c>
      <c r="D10" s="3">
        <v>102</v>
      </c>
      <c r="E10" s="4" t="str">
        <f>IFERROR(VLOOKUP(sales[[#This Row],[Cust_ID]],customersdata[#All],2,0),"")</f>
        <v>MK Tech.</v>
      </c>
      <c r="F10" s="4" t="s">
        <v>34</v>
      </c>
      <c r="G10" s="4" t="str">
        <f>IFERROR(VLOOKUP(sales[[#This Row],[HSN Code]],Table4[#All],2,0),"")</f>
        <v>Laptop HP xyz i5</v>
      </c>
      <c r="H10" s="7">
        <v>45296</v>
      </c>
      <c r="I10" s="4">
        <f>IFERROR(VLOOKUP(sales[[#This Row],[HSN Code]],Table7[[#All],[HSN Code]:[Stock]],6,0),"")</f>
        <v>3</v>
      </c>
      <c r="J10" s="4">
        <v>27</v>
      </c>
      <c r="K10" s="5">
        <f>IFERROR(VLOOKUP(sales[[#This Row],[HSN Code]],Table4[#All],4,0),"")</f>
        <v>41400</v>
      </c>
      <c r="L10" s="5">
        <f>IFERROR(sales[[#This Row],[Units]]*sales[[#This Row],[Price]],"")</f>
        <v>1117800</v>
      </c>
    </row>
    <row r="11" spans="2:17">
      <c r="B11" s="14"/>
      <c r="D11" s="3">
        <v>103</v>
      </c>
      <c r="E11" s="4" t="str">
        <f>IFERROR(VLOOKUP(sales[[#This Row],[Cust_ID]],customersdata[#All],2,0),"")</f>
        <v>99store</v>
      </c>
      <c r="F11" s="4" t="s">
        <v>40</v>
      </c>
      <c r="G11" s="4" t="str">
        <f>IFERROR(VLOOKUP(sales[[#This Row],[HSN Code]],Table4[#All],2,0),"")</f>
        <v>Desktop</v>
      </c>
      <c r="H11" s="7">
        <v>45297</v>
      </c>
      <c r="I11" s="4">
        <f>IFERROR(VLOOKUP(sales[[#This Row],[HSN Code]],Table7[[#All],[HSN Code]:[Stock]],6,0),"")</f>
        <v>35</v>
      </c>
      <c r="J11" s="4">
        <v>55</v>
      </c>
      <c r="K11" s="5">
        <f>IFERROR(VLOOKUP(sales[[#This Row],[HSN Code]],Table4[#All],4,0),"")</f>
        <v>25200</v>
      </c>
      <c r="L11" s="5">
        <f>IFERROR(sales[[#This Row],[Units]]*sales[[#This Row],[Price]],"")</f>
        <v>1386000</v>
      </c>
    </row>
    <row r="12" spans="2:17">
      <c r="B12" s="14"/>
      <c r="D12" s="3">
        <v>105</v>
      </c>
      <c r="E12" s="4" t="str">
        <f>IFERROR(VLOOKUP(sales[[#This Row],[Cust_ID]],customersdata[#All],2,0),"")</f>
        <v xml:space="preserve">Amit </v>
      </c>
      <c r="F12" s="4" t="s">
        <v>61</v>
      </c>
      <c r="G12" s="4" t="str">
        <f>IFERROR(VLOOKUP(sales[[#This Row],[HSN Code]],Table4[#All],2,0),"")</f>
        <v>Tablets</v>
      </c>
      <c r="H12" s="7">
        <v>45298</v>
      </c>
      <c r="I12" s="4">
        <f>IFERROR(VLOOKUP(sales[[#This Row],[HSN Code]],Table7[[#All],[HSN Code]:[Stock]],6,0),"")</f>
        <v>3</v>
      </c>
      <c r="J12" s="4">
        <v>33</v>
      </c>
      <c r="K12" s="5">
        <f>IFERROR(VLOOKUP(sales[[#This Row],[HSN Code]],Table4[#All],4,0),"")</f>
        <v>28200</v>
      </c>
      <c r="L12" s="5">
        <f>IFERROR(sales[[#This Row],[Units]]*sales[[#This Row],[Price]],"")</f>
        <v>930600</v>
      </c>
    </row>
    <row r="13" spans="2:17">
      <c r="B13" s="14"/>
      <c r="D13" s="3">
        <v>106</v>
      </c>
      <c r="E13" s="4" t="str">
        <f>IFERROR(VLOOKUP(sales[[#This Row],[Cust_ID]],customersdata[#All],2,0),"")</f>
        <v>Jain Tel.</v>
      </c>
      <c r="F13" s="4" t="s">
        <v>58</v>
      </c>
      <c r="G13" s="4" t="str">
        <f>IFERROR(VLOOKUP(sales[[#This Row],[HSN Code]],Table4[#All],2,0),"")</f>
        <v>Speakers</v>
      </c>
      <c r="H13" s="7">
        <v>45299</v>
      </c>
      <c r="I13" s="4">
        <f>IFERROR(VLOOKUP(sales[[#This Row],[HSN Code]],Table7[[#All],[HSN Code]:[Stock]],6,0),"")</f>
        <v>3</v>
      </c>
      <c r="J13" s="4">
        <v>52</v>
      </c>
      <c r="K13" s="5">
        <f>IFERROR(VLOOKUP(sales[[#This Row],[HSN Code]],Table4[#All],4,0),"")</f>
        <v>804</v>
      </c>
      <c r="L13" s="5">
        <f>IFERROR(sales[[#This Row],[Units]]*sales[[#This Row],[Price]],"")</f>
        <v>41808</v>
      </c>
    </row>
    <row r="14" spans="2:17">
      <c r="B14" s="14"/>
      <c r="D14" s="3">
        <v>104</v>
      </c>
      <c r="E14" s="4" t="str">
        <f>IFERROR(VLOOKUP(sales[[#This Row],[Cust_ID]],customersdata[#All],2,0),"")</f>
        <v>Rajesh Kumar</v>
      </c>
      <c r="F14" s="4" t="s">
        <v>61</v>
      </c>
      <c r="G14" s="4" t="str">
        <f>IFERROR(VLOOKUP(sales[[#This Row],[HSN Code]],Table4[#All],2,0),"")</f>
        <v>Tablets</v>
      </c>
      <c r="H14" s="7">
        <v>45299</v>
      </c>
      <c r="I14" s="4">
        <f>IFERROR(VLOOKUP(sales[[#This Row],[HSN Code]],Table7[[#All],[HSN Code]:[Stock]],6,0),"")</f>
        <v>3</v>
      </c>
      <c r="J14" s="4">
        <v>4</v>
      </c>
      <c r="K14" s="5">
        <f>IFERROR(VLOOKUP(sales[[#This Row],[HSN Code]],Table4[#All],4,0),"")</f>
        <v>28200</v>
      </c>
      <c r="L14" s="5">
        <f>IFERROR(sales[[#This Row],[Units]]*sales[[#This Row],[Price]],"")</f>
        <v>112800</v>
      </c>
    </row>
    <row r="15" spans="2:17">
      <c r="B15" s="14"/>
      <c r="D15" s="3">
        <v>103</v>
      </c>
      <c r="E15" s="4" t="str">
        <f>IFERROR(VLOOKUP(sales[[#This Row],[Cust_ID]],customersdata[#All],2,0),"")</f>
        <v>99store</v>
      </c>
      <c r="F15" s="4" t="s">
        <v>30</v>
      </c>
      <c r="G15" s="4" t="str">
        <f>IFERROR(VLOOKUP(sales[[#This Row],[HSN Code]],Table4[#All],2,0),"")</f>
        <v>Smart Watch</v>
      </c>
      <c r="H15" s="7">
        <v>45299</v>
      </c>
      <c r="I15" s="4">
        <f>IFERROR(VLOOKUP(sales[[#This Row],[HSN Code]],Table7[[#All],[HSN Code]:[Stock]],6,0),"")</f>
        <v>3</v>
      </c>
      <c r="J15" s="4">
        <v>37</v>
      </c>
      <c r="K15" s="5">
        <f>IFERROR(VLOOKUP(sales[[#This Row],[HSN Code]],Table4[#All],4,0),"")</f>
        <v>1176</v>
      </c>
      <c r="L15" s="5">
        <f>IFERROR(sales[[#This Row],[Units]]*sales[[#This Row],[Price]],"")</f>
        <v>43512</v>
      </c>
    </row>
    <row r="16" spans="2:17">
      <c r="B16" s="14"/>
      <c r="D16" s="3">
        <v>104</v>
      </c>
      <c r="E16" s="4" t="str">
        <f>IFERROR(VLOOKUP(sales[[#This Row],[Cust_ID]],customersdata[#All],2,0),"")</f>
        <v>Rajesh Kumar</v>
      </c>
      <c r="F16" s="4" t="s">
        <v>50</v>
      </c>
      <c r="G16" s="4" t="str">
        <f>IFERROR(VLOOKUP(sales[[#This Row],[HSN Code]],Table4[#All],2,0),"")</f>
        <v>Camera</v>
      </c>
      <c r="H16" s="7">
        <v>45299</v>
      </c>
      <c r="I16" s="4">
        <f>IFERROR(VLOOKUP(sales[[#This Row],[HSN Code]],Table7[[#All],[HSN Code]:[Stock]],6,0),"")</f>
        <v>14</v>
      </c>
      <c r="J16" s="4">
        <v>4</v>
      </c>
      <c r="K16" s="5">
        <f>IFERROR(VLOOKUP(sales[[#This Row],[HSN Code]],Table4[#All],4,0),"")</f>
        <v>62400</v>
      </c>
      <c r="L16" s="5">
        <f>IFERROR(sales[[#This Row],[Units]]*sales[[#This Row],[Price]],"")</f>
        <v>249600</v>
      </c>
    </row>
    <row r="17" spans="2:12">
      <c r="B17" s="14"/>
      <c r="D17" s="3">
        <v>105</v>
      </c>
      <c r="E17" s="4" t="str">
        <f>IFERROR(VLOOKUP(sales[[#This Row],[Cust_ID]],customersdata[#All],2,0),"")</f>
        <v xml:space="preserve">Amit </v>
      </c>
      <c r="F17" s="4" t="s">
        <v>50</v>
      </c>
      <c r="G17" s="4" t="str">
        <f>IFERROR(VLOOKUP(sales[[#This Row],[HSN Code]],Table4[#All],2,0),"")</f>
        <v>Camera</v>
      </c>
      <c r="H17" s="7">
        <v>45299</v>
      </c>
      <c r="I17" s="4">
        <f>IFERROR(VLOOKUP(sales[[#This Row],[HSN Code]],Table7[[#All],[HSN Code]:[Stock]],6,0),"")</f>
        <v>14</v>
      </c>
      <c r="J17" s="4">
        <v>4</v>
      </c>
      <c r="K17" s="5">
        <f>IFERROR(VLOOKUP(sales[[#This Row],[HSN Code]],Table4[#All],4,0),"")</f>
        <v>62400</v>
      </c>
      <c r="L17" s="5">
        <f>IFERROR(sales[[#This Row],[Units]]*sales[[#This Row],[Price]],"")</f>
        <v>249600</v>
      </c>
    </row>
    <row r="18" spans="2:12">
      <c r="B18" s="14"/>
      <c r="D18" s="3">
        <v>104</v>
      </c>
      <c r="E18" s="4" t="str">
        <f>IFERROR(VLOOKUP(sales[[#This Row],[Cust_ID]],customersdata[#All],2,0),"")</f>
        <v>Rajesh Kumar</v>
      </c>
      <c r="F18" s="4" t="s">
        <v>37</v>
      </c>
      <c r="G18" s="4" t="str">
        <f>IFERROR(VLOOKUP(sales[[#This Row],[HSN Code]],Table4[#All],2,0),"")</f>
        <v>Wireless Printer</v>
      </c>
      <c r="H18" s="7">
        <v>45299</v>
      </c>
      <c r="I18" s="4">
        <f>IFERROR(VLOOKUP(sales[[#This Row],[HSN Code]],Table7[[#All],[HSN Code]:[Stock]],6,0),"")</f>
        <v>35</v>
      </c>
      <c r="J18" s="4">
        <v>5</v>
      </c>
      <c r="K18" s="5">
        <f>IFERROR(VLOOKUP(sales[[#This Row],[HSN Code]],Table4[#All],4,0),"")</f>
        <v>5520</v>
      </c>
      <c r="L18" s="5">
        <f>IFERROR(sales[[#This Row],[Units]]*sales[[#This Row],[Price]],"")</f>
        <v>27600</v>
      </c>
    </row>
    <row r="19" spans="2:12">
      <c r="B19" s="15"/>
      <c r="D19" s="3"/>
      <c r="E19" s="4" t="str">
        <f>IFERROR(VLOOKUP(sales[[#This Row],[Cust_ID]],customersdata[#All],2,0),"")</f>
        <v/>
      </c>
      <c r="F19" s="4"/>
      <c r="G19" s="4" t="str">
        <f>IFERROR(VLOOKUP(sales[[#This Row],[HSN Code]],Table4[#All],2,0),"")</f>
        <v/>
      </c>
      <c r="H19" s="4"/>
      <c r="I19" s="4" t="str">
        <f>IFERROR(VLOOKUP(sales[[#This Row],[HSN Code]],Table7[[#All],[HSN Code]:[Stock]],6,0),"")</f>
        <v/>
      </c>
      <c r="J19" s="4"/>
      <c r="K19" s="5" t="str">
        <f>IFERROR(VLOOKUP(sales[[#This Row],[HSN Code]],Table4[#All],4,0),"")</f>
        <v/>
      </c>
      <c r="L19" s="5" t="str">
        <f>IFERROR(sales[[#This Row],[Units]]*sales[[#This Row],[Price]],"")</f>
        <v/>
      </c>
    </row>
    <row r="20" spans="2:12">
      <c r="B20" s="8"/>
      <c r="D20" s="3"/>
      <c r="E20" s="4" t="str">
        <f>IFERROR(VLOOKUP(sales[[#This Row],[Cust_ID]],customersdata[#All],2,0),"")</f>
        <v/>
      </c>
      <c r="F20" s="4"/>
      <c r="G20" s="4" t="str">
        <f>IFERROR(VLOOKUP(sales[[#This Row],[HSN Code]],Table4[#All],2,0),"")</f>
        <v/>
      </c>
      <c r="H20" s="4"/>
      <c r="I20" s="4" t="str">
        <f>IFERROR(VLOOKUP(sales[[#This Row],[HSN Code]],Table7[[#All],[HSN Code]:[Stock]],6,0),"")</f>
        <v/>
      </c>
      <c r="J20" s="4"/>
      <c r="K20" s="5" t="str">
        <f>IFERROR(VLOOKUP(sales[[#This Row],[HSN Code]],Table4[#All],4,0),"")</f>
        <v/>
      </c>
      <c r="L20" s="5" t="str">
        <f>IFERROR(sales[[#This Row],[Units]]*sales[[#This Row],[Price]],"")</f>
        <v/>
      </c>
    </row>
    <row r="21" spans="2:12">
      <c r="B21" s="8"/>
      <c r="D21" s="3"/>
      <c r="E21" s="4" t="str">
        <f>IFERROR(VLOOKUP(sales[[#This Row],[Cust_ID]],customersdata[#All],2,0),"")</f>
        <v/>
      </c>
      <c r="F21" s="4"/>
      <c r="G21" s="4" t="str">
        <f>IFERROR(VLOOKUP(sales[[#This Row],[HSN Code]],Table4[#All],2,0),"")</f>
        <v/>
      </c>
      <c r="H21" s="4"/>
      <c r="I21" s="4" t="str">
        <f>IFERROR(VLOOKUP(sales[[#This Row],[HSN Code]],Table7[[#All],[HSN Code]:[Stock]],6,0),"")</f>
        <v/>
      </c>
      <c r="J21" s="4"/>
      <c r="K21" s="5" t="str">
        <f>IFERROR(VLOOKUP(sales[[#This Row],[HSN Code]],Table4[#All],4,0),"")</f>
        <v/>
      </c>
      <c r="L21" s="5" t="str">
        <f>IFERROR(sales[[#This Row],[Units]]*sales[[#This Row],[Price]],"")</f>
        <v/>
      </c>
    </row>
    <row r="22" spans="2:12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GridLines="0" showRowColHeaders="0" workbookViewId="0">
      <selection activeCell="A2" sqref="A2"/>
    </sheetView>
  </sheetViews>
  <sheetFormatPr defaultColWidth="8.76953125" defaultRowHeight="25"/>
  <cols>
    <col min="1" max="1" width="1.6328125" style="1" customWidth="1"/>
    <col min="2" max="2" width="14.5" customWidth="1"/>
    <col min="3" max="3" width="1.7265625" style="1" customWidth="1"/>
    <col min="4" max="4" width="8.76953125" style="1"/>
    <col min="5" max="5" width="15.04296875" style="1" customWidth="1"/>
    <col min="6" max="6" width="8.2265625" style="1" customWidth="1"/>
    <col min="7" max="10" width="8.76953125" style="1"/>
    <col min="11" max="11" width="27.6328125" style="1" hidden="1" customWidth="1"/>
    <col min="12" max="12" width="2.90625" style="1" customWidth="1"/>
    <col min="13" max="16384" width="8.76953125" style="1"/>
  </cols>
  <sheetData>
    <row r="1" spans="2:18">
      <c r="B1" s="1"/>
    </row>
    <row r="2" spans="2:18">
      <c r="B2" s="13"/>
      <c r="R2" s="2"/>
    </row>
    <row r="3" spans="2:18">
      <c r="B3" s="14"/>
    </row>
    <row r="4" spans="2:18">
      <c r="B4" s="14"/>
    </row>
    <row r="5" spans="2:18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>
      <c r="B6" s="14"/>
      <c r="D6" s="4" t="str">
        <f>IFERROR(Table4[[#This Row],[HSN Code]],"")</f>
        <v>N1001</v>
      </c>
      <c r="E6" s="4" t="str">
        <f>IFERROR(Table4[[#This Row],[Product Name]],"")</f>
        <v>Smart Watch</v>
      </c>
      <c r="F6" s="4">
        <f>IFERROR(Table4[[#This Row],[Cost]],"")</f>
        <v>980</v>
      </c>
      <c r="G6" s="4">
        <f>SUMIF(purchase[Product Name],Table7[[#This Row],[Product Name]],purchase[Units])</f>
        <v>40</v>
      </c>
      <c r="H6" s="4">
        <f>SUMIF(sales[Product Name],Table7[[#This Row],[Product Name]],sales[Units])</f>
        <v>37</v>
      </c>
      <c r="I6" s="4">
        <f>Table7[[#This Row],[P Units]]-Table7[[#This Row],[S Units]]</f>
        <v>3</v>
      </c>
      <c r="J6" s="19">
        <f>IFERROR(Table7[[#This Row],[Cost]]*Table7[[#This Row],[Stock]],"")</f>
        <v>2940</v>
      </c>
      <c r="K6" s="4" t="str">
        <f>IFERROR(IF(Table7[[#This Row],[Stock]]&lt;5,"📞 "&amp;Table7[[#This Row],[Product Name]]&amp;" Needs To Re-Order ! PH. "&amp;VLOOKUP(Table7[[#This Row],[HSN Code]],vendorsdata[#All],4,0),""),"")</f>
        <v>📞 Smart Watch Needs To Re-Order ! PH. 9812xxxxxx</v>
      </c>
      <c r="L6" s="4"/>
    </row>
    <row r="7" spans="2:18">
      <c r="B7" s="14"/>
      <c r="D7" s="4" t="str">
        <f>IFERROR(Table4[[#This Row],[HSN Code]],"")</f>
        <v>N1002</v>
      </c>
      <c r="E7" s="4" t="str">
        <f>IFERROR(Table4[[#This Row],[Product Name]],"")</f>
        <v>Laptop HP xyz i5</v>
      </c>
      <c r="F7" s="4">
        <f>IFERROR(Table4[[#This Row],[Cost]],"")</f>
        <v>34500</v>
      </c>
      <c r="G7" s="4">
        <f>SUMIF(purchase[Product Name],Table7[[#This Row],[Product Name]],purchase[Units])</f>
        <v>30</v>
      </c>
      <c r="H7" s="4">
        <f>SUMIF(sales[Product Name],Table7[[#This Row],[Product Name]],sales[Units])</f>
        <v>27</v>
      </c>
      <c r="I7" s="4">
        <f>Table7[[#This Row],[P Units]]-Table7[[#This Row],[S Units]]</f>
        <v>3</v>
      </c>
      <c r="J7" s="19">
        <f>IFERROR(Table7[[#This Row],[Cost]]*Table7[[#This Row],[Stock]],"")</f>
        <v>103500</v>
      </c>
      <c r="K7" s="4" t="str">
        <f>IFERROR(IF(Table7[[#This Row],[Stock]]&lt;5,"📞 "&amp;Table7[[#This Row],[Product Name]]&amp;" Needs To Re-Order ! PH. "&amp;VLOOKUP(Table7[[#This Row],[HSN Code]],vendorsdata[#All],4,0),""),"")</f>
        <v>📞 Laptop HP xyz i5 Needs To Re-Order ! PH. 9812xxxxxx</v>
      </c>
      <c r="L7" s="4"/>
    </row>
    <row r="8" spans="2:18">
      <c r="B8" s="14"/>
      <c r="D8" s="4" t="str">
        <f>IFERROR(Table4[[#This Row],[HSN Code]],"")</f>
        <v>N1003</v>
      </c>
      <c r="E8" s="4" t="str">
        <f>IFERROR(Table4[[#This Row],[Product Name]],"")</f>
        <v>Wireless Printer</v>
      </c>
      <c r="F8" s="4">
        <f>IFERROR(Table4[[#This Row],[Cost]],"")</f>
        <v>4600</v>
      </c>
      <c r="G8" s="4">
        <f>SUMIF(purchase[Product Name],Table7[[#This Row],[Product Name]],purchase[Units])</f>
        <v>40</v>
      </c>
      <c r="H8" s="4">
        <f>SUMIF(sales[Product Name],Table7[[#This Row],[Product Name]],sales[Units])</f>
        <v>5</v>
      </c>
      <c r="I8" s="4">
        <f>Table7[[#This Row],[P Units]]-Table7[[#This Row],[S Units]]</f>
        <v>35</v>
      </c>
      <c r="J8" s="19">
        <f>IFERROR(Table7[[#This Row],[Cost]]*Table7[[#This Row],[Stock]],"")</f>
        <v>161000</v>
      </c>
      <c r="K8" s="4" t="str">
        <f>IFERROR(IF(Table7[[#This Row],[Stock]]&lt;5,"📞 "&amp;Table7[[#This Row],[Product Name]]&amp;" Needs To Re-Order ! PH. "&amp;VLOOKUP(Table7[[#This Row],[HSN Code]],vendorsdata[#All],4,0),""),"")</f>
        <v/>
      </c>
      <c r="L8" s="4"/>
    </row>
    <row r="9" spans="2:18">
      <c r="B9" s="14"/>
      <c r="D9" s="4" t="str">
        <f>IFERROR(Table4[[#This Row],[HSN Code]],"")</f>
        <v>N1004</v>
      </c>
      <c r="E9" s="4" t="str">
        <f>IFERROR(Table4[[#This Row],[Product Name]],"")</f>
        <v>Desktop</v>
      </c>
      <c r="F9" s="4">
        <f>IFERROR(Table4[[#This Row],[Cost]],"")</f>
        <v>21000</v>
      </c>
      <c r="G9" s="4">
        <f>SUMIF(purchase[Product Name],Table7[[#This Row],[Product Name]],purchase[Units])</f>
        <v>100</v>
      </c>
      <c r="H9" s="4">
        <f>SUMIF(sales[Product Name],Table7[[#This Row],[Product Name]],sales[Units])</f>
        <v>65</v>
      </c>
      <c r="I9" s="4">
        <f>Table7[[#This Row],[P Units]]-Table7[[#This Row],[S Units]]</f>
        <v>35</v>
      </c>
      <c r="J9" s="19">
        <f>IFERROR(Table7[[#This Row],[Cost]]*Table7[[#This Row],[Stock]],"")</f>
        <v>735000</v>
      </c>
      <c r="K9" s="4" t="str">
        <f>IFERROR(IF(Table7[[#This Row],[Stock]]&lt;5,"📞 "&amp;Table7[[#This Row],[Product Name]]&amp;" Needs To Re-Order ! PH. "&amp;VLOOKUP(Table7[[#This Row],[HSN Code]],vendorsdata[#All],4,0),""),"")</f>
        <v/>
      </c>
      <c r="L9" s="4"/>
    </row>
    <row r="10" spans="2:18">
      <c r="B10" s="14" t="s">
        <v>0</v>
      </c>
      <c r="D10" s="4" t="str">
        <f>IFERROR(Table4[[#This Row],[HSN Code]],"")</f>
        <v>N1005</v>
      </c>
      <c r="E10" s="4" t="str">
        <f>IFERROR(Table4[[#This Row],[Product Name]],"")</f>
        <v>Mouse</v>
      </c>
      <c r="F10" s="4">
        <f>IFERROR(Table4[[#This Row],[Cost]],"")</f>
        <v>200</v>
      </c>
      <c r="G10" s="4">
        <f>SUMIF(purchase[Product Name],Table7[[#This Row],[Product Name]],purchase[Units])</f>
        <v>20</v>
      </c>
      <c r="H10" s="4">
        <f>SUMIF(sales[Product Name],Table7[[#This Row],[Product Name]],sales[Units])</f>
        <v>0</v>
      </c>
      <c r="I10" s="4">
        <f>Table7[[#This Row],[P Units]]-Table7[[#This Row],[S Units]]</f>
        <v>20</v>
      </c>
      <c r="J10" s="19">
        <f>IFERROR(Table7[[#This Row],[Cost]]*Table7[[#This Row],[Stock]],"")</f>
        <v>4000</v>
      </c>
      <c r="K10" s="4" t="str">
        <f>IFERROR(IF(Table7[[#This Row],[Stock]]&lt;5,"📞 "&amp;Table7[[#This Row],[Product Name]]&amp;" Needs To Re-Order ! PH. "&amp;VLOOKUP(Table7[[#This Row],[HSN Code]],vendorsdata[#All],4,0),""),"")</f>
        <v/>
      </c>
      <c r="L10" s="4"/>
    </row>
    <row r="11" spans="2:18">
      <c r="B11" s="14"/>
      <c r="D11" s="4" t="str">
        <f>IFERROR(Table4[[#This Row],[HSN Code]],"")</f>
        <v>N1006</v>
      </c>
      <c r="E11" s="4" t="str">
        <f>IFERROR(Table4[[#This Row],[Product Name]],"")</f>
        <v>Rgb Keyboard</v>
      </c>
      <c r="F11" s="4">
        <f>IFERROR(Table4[[#This Row],[Cost]],"")</f>
        <v>340</v>
      </c>
      <c r="G11" s="4">
        <f>SUMIF(purchase[Product Name],Table7[[#This Row],[Product Name]],purchase[Units])</f>
        <v>50</v>
      </c>
      <c r="H11" s="4">
        <f>SUMIF(sales[Product Name],Table7[[#This Row],[Product Name]],sales[Units])</f>
        <v>37</v>
      </c>
      <c r="I11" s="4">
        <f>Table7[[#This Row],[P Units]]-Table7[[#This Row],[S Units]]</f>
        <v>13</v>
      </c>
      <c r="J11" s="19">
        <f>IFERROR(Table7[[#This Row],[Cost]]*Table7[[#This Row],[Stock]],"")</f>
        <v>4420</v>
      </c>
      <c r="K11" s="4" t="str">
        <f>IFERROR(IF(Table7[[#This Row],[Stock]]&lt;5,"📞 "&amp;Table7[[#This Row],[Product Name]]&amp;" Needs To Re-Order ! PH. "&amp;VLOOKUP(Table7[[#This Row],[HSN Code]],vendorsdata[#All],4,0),""),"")</f>
        <v/>
      </c>
      <c r="L11" s="4"/>
    </row>
    <row r="12" spans="2:18">
      <c r="B12" s="14"/>
      <c r="D12" s="4" t="str">
        <f>IFERROR(Table4[[#This Row],[HSN Code]],"")</f>
        <v>N1007</v>
      </c>
      <c r="E12" s="4" t="str">
        <f>IFERROR(Table4[[#This Row],[Product Name]],"")</f>
        <v>Camera</v>
      </c>
      <c r="F12" s="4">
        <f>IFERROR(Table4[[#This Row],[Cost]],"")</f>
        <v>52000</v>
      </c>
      <c r="G12" s="4">
        <f>SUMIF(purchase[Product Name],Table7[[#This Row],[Product Name]],purchase[Units])</f>
        <v>22</v>
      </c>
      <c r="H12" s="4">
        <f>SUMIF(sales[Product Name],Table7[[#This Row],[Product Name]],sales[Units])</f>
        <v>8</v>
      </c>
      <c r="I12" s="4">
        <f>Table7[[#This Row],[P Units]]-Table7[[#This Row],[S Units]]</f>
        <v>14</v>
      </c>
      <c r="J12" s="19">
        <f>IFERROR(Table7[[#This Row],[Cost]]*Table7[[#This Row],[Stock]],"")</f>
        <v>728000</v>
      </c>
      <c r="K12" s="4" t="str">
        <f>IFERROR(IF(Table7[[#This Row],[Stock]]&lt;5,"📞 "&amp;Table7[[#This Row],[Product Name]]&amp;" Needs To Re-Order ! PH. "&amp;VLOOKUP(Table7[[#This Row],[HSN Code]],vendorsdata[#All],4,0),""),"")</f>
        <v/>
      </c>
      <c r="L12" s="4"/>
    </row>
    <row r="13" spans="2:18">
      <c r="B13" s="14"/>
      <c r="D13" s="4" t="str">
        <f>IFERROR(Table4[[#This Row],[HSN Code]],"")</f>
        <v>N1008</v>
      </c>
      <c r="E13" s="4" t="str">
        <f>IFERROR(Table4[[#This Row],[Product Name]],"")</f>
        <v>Headphones</v>
      </c>
      <c r="F13" s="4">
        <f>IFERROR(Table4[[#This Row],[Cost]],"")</f>
        <v>799</v>
      </c>
      <c r="G13" s="4">
        <f>SUMIF(purchase[Product Name],Table7[[#This Row],[Product Name]],purchase[Units])</f>
        <v>55</v>
      </c>
      <c r="H13" s="4">
        <f>SUMIF(sales[Product Name],Table7[[#This Row],[Product Name]],sales[Units])</f>
        <v>42</v>
      </c>
      <c r="I13" s="4">
        <f>Table7[[#This Row],[P Units]]-Table7[[#This Row],[S Units]]</f>
        <v>13</v>
      </c>
      <c r="J13" s="19">
        <f>IFERROR(Table7[[#This Row],[Cost]]*Table7[[#This Row],[Stock]],"")</f>
        <v>10387</v>
      </c>
      <c r="K13" s="4" t="str">
        <f>IFERROR(IF(Table7[[#This Row],[Stock]]&lt;5,"📞 "&amp;Table7[[#This Row],[Product Name]]&amp;" Needs To Re-Order ! PH. "&amp;VLOOKUP(Table7[[#This Row],[HSN Code]],vendorsdata[#All],4,0),""),"")</f>
        <v/>
      </c>
      <c r="L13" s="4"/>
    </row>
    <row r="14" spans="2:18">
      <c r="B14" s="14"/>
      <c r="D14" s="4" t="str">
        <f>IFERROR(Table4[[#This Row],[HSN Code]],"")</f>
        <v>N1009</v>
      </c>
      <c r="E14" s="4" t="str">
        <f>IFERROR(Table4[[#This Row],[Product Name]],"")</f>
        <v>Speakers</v>
      </c>
      <c r="F14" s="4">
        <f>IFERROR(Table4[[#This Row],[Cost]],"")</f>
        <v>670</v>
      </c>
      <c r="G14" s="4">
        <f>SUMIF(purchase[Product Name],Table7[[#This Row],[Product Name]],purchase[Units])</f>
        <v>55</v>
      </c>
      <c r="H14" s="4">
        <f>SUMIF(sales[Product Name],Table7[[#This Row],[Product Name]],sales[Units])</f>
        <v>52</v>
      </c>
      <c r="I14" s="4">
        <f>Table7[[#This Row],[P Units]]-Table7[[#This Row],[S Units]]</f>
        <v>3</v>
      </c>
      <c r="J14" s="19">
        <f>IFERROR(Table7[[#This Row],[Cost]]*Table7[[#This Row],[Stock]],"")</f>
        <v>2010</v>
      </c>
      <c r="K14" s="4" t="str">
        <f>IFERROR(IF(Table7[[#This Row],[Stock]]&lt;5,"📞 "&amp;Table7[[#This Row],[Product Name]]&amp;" Needs To Re-Order ! PH. "&amp;VLOOKUP(Table7[[#This Row],[HSN Code]],vendorsdata[#All],4,0),""),"")</f>
        <v>📞 Speakers Needs To Re-Order ! PH. 9814xxxxxx</v>
      </c>
    </row>
    <row r="15" spans="2:18">
      <c r="B15" s="14"/>
      <c r="D15" s="4" t="str">
        <f>IFERROR(Table4[[#This Row],[HSN Code]],"")</f>
        <v>N1010</v>
      </c>
      <c r="E15" s="4" t="str">
        <f>IFERROR(Table4[[#This Row],[Product Name]],"")</f>
        <v>Tablets</v>
      </c>
      <c r="F15" s="4">
        <f>IFERROR(Table4[[#This Row],[Cost]],"")</f>
        <v>23500</v>
      </c>
      <c r="G15" s="4">
        <f>SUMIF(purchase[Product Name],Table7[[#This Row],[Product Name]],purchase[Units])</f>
        <v>40</v>
      </c>
      <c r="H15" s="4">
        <f>SUMIF(sales[Product Name],Table7[[#This Row],[Product Name]],sales[Units])</f>
        <v>37</v>
      </c>
      <c r="I15" s="4">
        <f>Table7[[#This Row],[P Units]]-Table7[[#This Row],[S Units]]</f>
        <v>3</v>
      </c>
      <c r="J15" s="19">
        <f>IFERROR(Table7[[#This Row],[Cost]]*Table7[[#This Row],[Stock]],"")</f>
        <v>70500</v>
      </c>
      <c r="K15" s="4" t="str">
        <f>IFERROR(IF(Table7[[#This Row],[Stock]]&lt;5,"📞 "&amp;Table7[[#This Row],[Product Name]]&amp;" Needs To Re-Order ! PH. "&amp;VLOOKUP(Table7[[#This Row],[HSN Code]],vendorsdata[#All],4,0),""),"")</f>
        <v>📞 Tablets Needs To Re-Order ! PH. 9814xxxxxx</v>
      </c>
    </row>
    <row r="16" spans="2:18">
      <c r="B16" s="14"/>
      <c r="D16" s="4" t="str">
        <f>IFERROR(Table4[[#This Row],[HSN Code]],"")</f>
        <v/>
      </c>
      <c r="E16" s="4" t="str">
        <f>IFERROR(Table4[[#This Row],[Product Name]],"")</f>
        <v/>
      </c>
      <c r="F16" s="4" t="str">
        <f>IFERROR(Table4[[#This Row],[Cost]],"")</f>
        <v/>
      </c>
      <c r="G16" s="4">
        <f>SUMIF(purchase[Product Name],Table7[[#This Row],[Product Name]],purchase[Units])</f>
        <v>0</v>
      </c>
      <c r="H16" s="4">
        <f>SUMIF(sales[Product Name],Table7[[#This Row],[Product Name]],sales[Units])</f>
        <v>0</v>
      </c>
      <c r="I16" s="4">
        <f>Table7[[#This Row],[P Units]]-Table7[[#This Row],[S Units]]</f>
        <v>0</v>
      </c>
      <c r="J16" s="19" t="str">
        <f>IFERROR(Table7[[#This Row],[Cost]]*Table7[[#This Row],[Stock]],"")</f>
        <v/>
      </c>
      <c r="K16" s="4" t="str">
        <f>IFERROR(IF(Table7[[#This Row],[Stock]]&lt;5,"📞 "&amp;Table7[[#This Row],[Product Name]]&amp;" Needs To Re-Order ! PH. "&amp;VLOOKUP(Table7[[#This Row],[HSN Code]],vendorsdata[#All],4,0),""),"")</f>
        <v/>
      </c>
    </row>
    <row r="17" spans="2:11">
      <c r="B17" s="14"/>
      <c r="D17" s="4" t="str">
        <f>IFERROR(Table4[[#This Row],[HSN Code]],"")</f>
        <v/>
      </c>
      <c r="E17" s="4" t="str">
        <f>IFERROR(Table4[[#This Row],[Product Name]],"")</f>
        <v/>
      </c>
      <c r="F17" s="4" t="str">
        <f>IFERROR(Table4[[#This Row],[Cost]],"")</f>
        <v/>
      </c>
      <c r="G17" s="4">
        <f>SUMIF(purchase[Product Name],Table7[[#This Row],[Product Name]],purchase[Units])</f>
        <v>0</v>
      </c>
      <c r="H17" s="4">
        <f>SUMIF(sales[Product Name],Table7[[#This Row],[Product Name]],sales[Units])</f>
        <v>0</v>
      </c>
      <c r="I17" s="4">
        <f>Table7[[#This Row],[P Units]]-Table7[[#This Row],[S Units]]</f>
        <v>0</v>
      </c>
      <c r="J17" s="19" t="str">
        <f>IFERROR(Table7[[#This Row],[Cost]]*Table7[[#This Row],[Stock]],"")</f>
        <v/>
      </c>
      <c r="K17" s="4" t="str">
        <f>IFERROR(IF(Table7[[#This Row],[Stock]]&lt;5,"📞 "&amp;Table7[[#This Row],[Product Name]]&amp;" Needs To Re-Order ! PH. "&amp;VLOOKUP(Table7[[#This Row],[HSN Code]],vendorsdata[#All],4,0),""),"")</f>
        <v/>
      </c>
    </row>
    <row r="18" spans="2:11">
      <c r="B18" s="14"/>
      <c r="D18" s="4" t="str">
        <f>IFERROR(Table4[[#This Row],[HSN Code]],"")</f>
        <v/>
      </c>
      <c r="E18" s="4" t="str">
        <f>IFERROR(Table4[[#This Row],[Product Name]],"")</f>
        <v/>
      </c>
      <c r="F18" s="4" t="str">
        <f>IFERROR(Table4[[#This Row],[Cost]],"")</f>
        <v/>
      </c>
      <c r="G18" s="4">
        <f>SUMIF(purchase[Product Name],Table7[[#This Row],[Product Name]],purchase[Units])</f>
        <v>0</v>
      </c>
      <c r="H18" s="4">
        <f>SUMIF(sales[Product Name],Table7[[#This Row],[Product Name]],sales[Units])</f>
        <v>0</v>
      </c>
      <c r="I18" s="4">
        <f>Table7[[#This Row],[P Units]]-Table7[[#This Row],[S Units]]</f>
        <v>0</v>
      </c>
      <c r="J18" s="19" t="str">
        <f>IFERROR(Table7[[#This Row],[Cost]]*Table7[[#This Row],[Stock]],"")</f>
        <v/>
      </c>
      <c r="K18" s="4" t="str">
        <f>IFERROR(IF(Table7[[#This Row],[Stock]]&lt;5,"📞 "&amp;Table7[[#This Row],[Product Name]]&amp;" Needs To Re-Order ! PH. "&amp;VLOOKUP(Table7[[#This Row],[HSN Code]],vendorsdata[#All],4,0),""),"")</f>
        <v/>
      </c>
    </row>
    <row r="19" spans="2:11">
      <c r="B19" s="15"/>
      <c r="D19" s="4" t="str">
        <f>IFERROR(Table4[[#This Row],[HSN Code]],"")</f>
        <v/>
      </c>
      <c r="E19" s="4" t="str">
        <f>IFERROR(Table4[[#This Row],[Product Name]],"")</f>
        <v/>
      </c>
      <c r="F19" s="4" t="str">
        <f>IFERROR(Table4[[#This Row],[Cost]],"")</f>
        <v/>
      </c>
      <c r="G19" s="4"/>
      <c r="H19" s="4"/>
      <c r="I19" s="4"/>
      <c r="J19" s="4"/>
    </row>
    <row r="20" spans="2:11">
      <c r="B20" s="8"/>
      <c r="D20" s="4" t="str">
        <f>IFERROR(Table4[[#This Row],[HSN Code]],"")</f>
        <v/>
      </c>
      <c r="E20" s="4" t="str">
        <f>IFERROR(Table4[[#This Row],[Product Name]],"")</f>
        <v/>
      </c>
      <c r="F20" s="4" t="str">
        <f>IFERROR(Table4[[#This Row],[Cost]],"")</f>
        <v/>
      </c>
      <c r="G20" s="4"/>
      <c r="H20" s="4"/>
      <c r="I20" s="4"/>
      <c r="J20" s="4"/>
    </row>
    <row r="21" spans="2:11">
      <c r="B21" s="8"/>
      <c r="D21" s="4" t="str">
        <f>IFERROR(Table4[[#This Row],[HSN Code]],"")</f>
        <v/>
      </c>
      <c r="E21" s="4" t="str">
        <f>IFERROR(Table4[[#This Row],[Product Name]],"")</f>
        <v/>
      </c>
      <c r="F21" s="4" t="str">
        <f>IFERROR(Table4[[#This Row],[Cost]],"")</f>
        <v/>
      </c>
      <c r="G21" s="4"/>
      <c r="H21" s="4"/>
      <c r="I21" s="4"/>
      <c r="J21" s="4"/>
    </row>
    <row r="22" spans="2:11">
      <c r="B22" s="8"/>
      <c r="D22" s="4" t="str">
        <f>IFERROR(Table4[[#This Row],[HSN Code]],"")</f>
        <v/>
      </c>
      <c r="E22" s="4" t="str">
        <f>IFERROR(Table4[[#This Row],[Product Name]],"")</f>
        <v/>
      </c>
      <c r="F22" s="4" t="str">
        <f>IFERROR(Table4[[#This Row],[Cost]],"")</f>
        <v/>
      </c>
      <c r="G22" s="4"/>
      <c r="H22" s="4"/>
      <c r="I22" s="4"/>
      <c r="J22" s="4"/>
    </row>
    <row r="23" spans="2:11">
      <c r="B23" s="8"/>
      <c r="D23" s="4" t="str">
        <f>IFERROR(Table4[[#This Row],[HSN Code]],"")</f>
        <v/>
      </c>
      <c r="E23" s="4" t="str">
        <f>IFERROR(Table4[[#This Row],[Product Name]],"")</f>
        <v/>
      </c>
      <c r="F23" s="4" t="str">
        <f>IFERROR(Table4[[#This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Sheet9</vt:lpstr>
      <vt:lpstr>Customers</vt:lpstr>
      <vt:lpstr>Vendors</vt:lpstr>
      <vt:lpstr>Products</vt:lpstr>
      <vt:lpstr>New Entry</vt:lpstr>
      <vt:lpstr>Purchase</vt:lpstr>
      <vt:lpstr>Sales</vt:lpstr>
      <vt:lpstr>Inventory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Saumyasuteshnu</cp:lastModifiedBy>
  <dcterms:created xsi:type="dcterms:W3CDTF">2024-12-16T07:21:07Z</dcterms:created>
  <dcterms:modified xsi:type="dcterms:W3CDTF">2026-01-28T07:17:27Z</dcterms:modified>
</cp:coreProperties>
</file>